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365gometro.sharepoint.com/sites/FPATeam/Shared Documents/FP&amp;A/Ad Hoc/"/>
    </mc:Choice>
  </mc:AlternateContent>
  <xr:revisionPtr revIDLastSave="205" documentId="8_{6D7F8BA8-8600-4267-9768-DDE371A8963B}" xr6:coauthVersionLast="47" xr6:coauthVersionMax="47" xr10:uidLastSave="{A18A43BB-4C62-4D65-AE61-8FE251119490}"/>
  <bookViews>
    <workbookView xWindow="-120" yWindow="-120" windowWidth="29040" windowHeight="15720" xr2:uid="{F8A9E838-5A24-4AB8-891F-59363BF78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0" i="1" l="1"/>
  <c r="L8" i="1" s="1"/>
  <c r="L12" i="1"/>
  <c r="J14" i="1"/>
  <c r="K12" i="1"/>
  <c r="K14" i="1" s="1"/>
  <c r="J12" i="1"/>
  <c r="I14" i="1"/>
  <c r="I12" i="1"/>
  <c r="C27" i="1" l="1"/>
  <c r="C25" i="1"/>
  <c r="C22" i="1"/>
  <c r="C20" i="1"/>
  <c r="F13" i="1"/>
  <c r="E13" i="1"/>
  <c r="D13" i="1"/>
  <c r="C13" i="1"/>
  <c r="F12" i="1"/>
  <c r="E12" i="1"/>
  <c r="D12" i="1"/>
  <c r="C12" i="1"/>
  <c r="F11" i="1"/>
  <c r="E11" i="1"/>
  <c r="D11" i="1"/>
  <c r="C11" i="1"/>
  <c r="D21" i="1" l="1"/>
  <c r="D19" i="1"/>
  <c r="E27" i="1" l="1"/>
  <c r="F27" i="1" s="1"/>
  <c r="C19" i="1"/>
  <c r="E21" i="1"/>
  <c r="F21" i="1" s="1"/>
  <c r="C21" i="1"/>
  <c r="E20" i="1"/>
  <c r="F20" i="1" s="1"/>
  <c r="E25" i="1"/>
  <c r="F25" i="1" s="1"/>
  <c r="E22" i="1" l="1"/>
  <c r="F22" i="1" s="1"/>
  <c r="F23" i="1" l="1"/>
  <c r="F29" i="1" s="1"/>
  <c r="F14" i="1" s="1"/>
  <c r="F16" i="1" s="1"/>
  <c r="E23" i="1"/>
  <c r="E29" i="1" s="1"/>
  <c r="E14" i="1" s="1"/>
  <c r="E16" i="1" s="1"/>
  <c r="D23" i="1"/>
  <c r="D29" i="1" s="1"/>
  <c r="D14" i="1" s="1"/>
  <c r="D16" i="1" s="1"/>
  <c r="C23" i="1"/>
  <c r="C29" i="1" s="1"/>
  <c r="C14" i="1" s="1"/>
  <c r="C16" i="1" s="1"/>
</calcChain>
</file>

<file path=xl/sharedStrings.xml><?xml version="1.0" encoding="utf-8"?>
<sst xmlns="http://schemas.openxmlformats.org/spreadsheetml/2006/main" count="34" uniqueCount="28">
  <si>
    <t>Cincinnati Metro</t>
  </si>
  <si>
    <t>MetroNow! Review</t>
  </si>
  <si>
    <t>6/18/2026</t>
  </si>
  <si>
    <t>FY2023</t>
  </si>
  <si>
    <t>FY2024</t>
  </si>
  <si>
    <t>FY2025</t>
  </si>
  <si>
    <t>FY2026</t>
  </si>
  <si>
    <t>Fare Revenue</t>
  </si>
  <si>
    <t>Operator Wages</t>
  </si>
  <si>
    <t>Benefits</t>
  </si>
  <si>
    <t>Support Wages</t>
  </si>
  <si>
    <t>Total Wages and Benefits</t>
  </si>
  <si>
    <t>Maintenance Wages</t>
  </si>
  <si>
    <t>Fuel</t>
  </si>
  <si>
    <t>Other Costs</t>
  </si>
  <si>
    <t>Total Costs</t>
  </si>
  <si>
    <t>($000's)</t>
  </si>
  <si>
    <t>Operating</t>
  </si>
  <si>
    <t>Federal</t>
  </si>
  <si>
    <t>State</t>
  </si>
  <si>
    <t>Sales Tax</t>
  </si>
  <si>
    <t>Local</t>
  </si>
  <si>
    <t>Total Funding</t>
  </si>
  <si>
    <t>Ridership</t>
  </si>
  <si>
    <t>Capital</t>
  </si>
  <si>
    <t>Total Cost</t>
  </si>
  <si>
    <t>Total Grant Funding</t>
  </si>
  <si>
    <t>Local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</si>
</sst>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3" fillId="0" borderId="0" xfId="0" applyFont="1" applyAlignment="1">
      <alignment horizontal="center"/>
    </xf>
    <xf numFmtId="165" fontId="3" fillId="0" borderId="0" xfId="1" applyNumberFormat="1" applyFont="1"/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6" fontId="4" fillId="0" borderId="2" xfId="1" applyNumberFormat="1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165" fontId="3" fillId="0" borderId="0" xfId="1" applyNumberFormat="1" applyFont="1" applyBorder="1"/>
    <xf numFmtId="6" fontId="3" fillId="0" borderId="0" xfId="1" applyNumberFormat="1" applyFont="1" applyBorder="1"/>
    <xf numFmtId="6" fontId="3" fillId="0" borderId="5" xfId="1" applyNumberFormat="1" applyFont="1" applyBorder="1"/>
    <xf numFmtId="165" fontId="3" fillId="0" borderId="5" xfId="1" applyNumberFormat="1" applyFont="1" applyBorder="1"/>
    <xf numFmtId="6" fontId="4" fillId="0" borderId="3" xfId="1" applyNumberFormat="1" applyFont="1" applyBorder="1"/>
    <xf numFmtId="9" fontId="3" fillId="0" borderId="0" xfId="2" applyFont="1"/>
    <xf numFmtId="165" fontId="3" fillId="0" borderId="6" xfId="1" applyNumberFormat="1" applyFont="1" applyBorder="1"/>
    <xf numFmtId="165" fontId="3" fillId="0" borderId="7" xfId="1" applyNumberFormat="1" applyFont="1" applyBorder="1"/>
    <xf numFmtId="0" fontId="3" fillId="0" borderId="8" xfId="0" applyFont="1" applyBorder="1"/>
    <xf numFmtId="165" fontId="3" fillId="0" borderId="9" xfId="1" applyNumberFormat="1" applyFont="1" applyBorder="1"/>
    <xf numFmtId="165" fontId="3" fillId="0" borderId="10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5CEC-341B-4437-85BF-9A8435A60B2A}">
  <dimension ref="A1:N32"/>
  <sheetViews>
    <sheetView tabSelected="1" workbookViewId="0">
      <selection activeCell="H5" sqref="H5"/>
    </sheetView>
  </sheetViews>
  <sheetFormatPr defaultRowHeight="15" x14ac:dyDescent="0.25"/>
  <cols>
    <col min="1" max="1" width="6.28515625" style="2" customWidth="1"/>
    <col min="2" max="2" width="23.7109375" style="2" bestFit="1" customWidth="1"/>
    <col min="3" max="3" width="10.85546875" style="2" bestFit="1" customWidth="1"/>
    <col min="4" max="5" width="9.140625" style="2"/>
    <col min="6" max="6" width="10.5703125" style="2" bestFit="1" customWidth="1"/>
    <col min="7" max="7" width="9.140625" style="2"/>
    <col min="8" max="8" width="20.5703125" style="2" customWidth="1"/>
    <col min="9" max="12" width="10.85546875" style="2" customWidth="1"/>
    <col min="13" max="16384" width="9.140625" style="2"/>
  </cols>
  <sheetData>
    <row r="1" spans="1:14" ht="15.75" x14ac:dyDescent="0.25">
      <c r="A1" s="1" t="s">
        <v>0</v>
      </c>
    </row>
    <row r="2" spans="1:14" ht="15.75" x14ac:dyDescent="0.25">
      <c r="A2" s="1" t="s">
        <v>1</v>
      </c>
    </row>
    <row r="3" spans="1:14" ht="15.75" x14ac:dyDescent="0.25">
      <c r="A3" s="3" t="s">
        <v>2</v>
      </c>
    </row>
    <row r="4" spans="1:14" ht="15.75" x14ac:dyDescent="0.25">
      <c r="A4" s="3" t="s">
        <v>16</v>
      </c>
    </row>
    <row r="5" spans="1:14" x14ac:dyDescent="0.25">
      <c r="C5" s="4"/>
      <c r="D5" s="4"/>
      <c r="E5" s="4"/>
      <c r="F5" s="4"/>
    </row>
    <row r="6" spans="1:14" x14ac:dyDescent="0.25">
      <c r="B6" s="6" t="s">
        <v>17</v>
      </c>
      <c r="C6" s="7" t="s">
        <v>3</v>
      </c>
      <c r="D6" s="7" t="s">
        <v>4</v>
      </c>
      <c r="E6" s="7" t="s">
        <v>5</v>
      </c>
      <c r="F6" s="8" t="s">
        <v>6</v>
      </c>
      <c r="H6" s="6" t="s">
        <v>24</v>
      </c>
      <c r="I6" s="7" t="s">
        <v>3</v>
      </c>
      <c r="J6" s="7" t="s">
        <v>4</v>
      </c>
      <c r="K6" s="7" t="s">
        <v>5</v>
      </c>
      <c r="L6" s="8" t="s">
        <v>6</v>
      </c>
    </row>
    <row r="7" spans="1:14" x14ac:dyDescent="0.25">
      <c r="B7" s="10"/>
      <c r="C7" s="11"/>
      <c r="D7" s="11"/>
      <c r="E7" s="11"/>
      <c r="F7" s="12"/>
      <c r="H7" s="10"/>
      <c r="I7" s="11"/>
      <c r="J7" s="11"/>
      <c r="K7" s="11"/>
      <c r="L7" s="12"/>
    </row>
    <row r="8" spans="1:14" x14ac:dyDescent="0.25">
      <c r="B8" s="10" t="s">
        <v>23</v>
      </c>
      <c r="C8" s="13">
        <v>20.803999999999998</v>
      </c>
      <c r="D8" s="13">
        <v>84.007999999999996</v>
      </c>
      <c r="E8" s="13">
        <v>140.02199999999999</v>
      </c>
      <c r="F8" s="12">
        <v>245</v>
      </c>
      <c r="H8" s="10" t="s">
        <v>25</v>
      </c>
      <c r="I8" s="14">
        <v>2215</v>
      </c>
      <c r="J8" s="14">
        <v>1234.989</v>
      </c>
      <c r="K8" s="14">
        <v>1436.952</v>
      </c>
      <c r="L8" s="15">
        <f>L10+L14</f>
        <v>2862.75</v>
      </c>
      <c r="M8" s="5"/>
      <c r="N8" s="5"/>
    </row>
    <row r="9" spans="1:14" x14ac:dyDescent="0.25">
      <c r="B9" s="10"/>
      <c r="C9" s="11"/>
      <c r="D9" s="11"/>
      <c r="E9" s="11"/>
      <c r="F9" s="12"/>
      <c r="H9" s="10"/>
      <c r="I9" s="13"/>
      <c r="J9" s="13"/>
      <c r="K9" s="13"/>
      <c r="L9" s="16"/>
      <c r="M9" s="5"/>
      <c r="N9" s="5"/>
    </row>
    <row r="10" spans="1:14" x14ac:dyDescent="0.25">
      <c r="B10" s="10" t="s">
        <v>7</v>
      </c>
      <c r="C10" s="14">
        <v>41.908000000000001</v>
      </c>
      <c r="D10" s="14">
        <v>170.00399999999999</v>
      </c>
      <c r="E10" s="14">
        <v>315.81400000000002</v>
      </c>
      <c r="F10" s="15">
        <v>490</v>
      </c>
      <c r="H10" s="10" t="s">
        <v>18</v>
      </c>
      <c r="I10" s="13">
        <v>0</v>
      </c>
      <c r="J10" s="13">
        <v>673</v>
      </c>
      <c r="K10" s="13">
        <v>1092</v>
      </c>
      <c r="L10" s="16">
        <f>L14/0.32</f>
        <v>2168.75</v>
      </c>
      <c r="M10" s="5"/>
      <c r="N10" s="5"/>
    </row>
    <row r="11" spans="1:14" x14ac:dyDescent="0.25">
      <c r="B11" s="10" t="s">
        <v>18</v>
      </c>
      <c r="C11" s="13">
        <f>C8*1.35</f>
        <v>28.0854</v>
      </c>
      <c r="D11" s="13">
        <f>D8*1.35</f>
        <v>113.41079999999999</v>
      </c>
      <c r="E11" s="13">
        <f>E8*1.35</f>
        <v>189.02969999999999</v>
      </c>
      <c r="F11" s="16">
        <f>F8*1.35</f>
        <v>330.75</v>
      </c>
      <c r="H11" s="10" t="s">
        <v>19</v>
      </c>
      <c r="I11" s="13">
        <v>0</v>
      </c>
      <c r="J11" s="13">
        <v>0</v>
      </c>
      <c r="K11" s="13">
        <v>0</v>
      </c>
      <c r="L11" s="16"/>
      <c r="M11" s="5"/>
      <c r="N11" s="5"/>
    </row>
    <row r="12" spans="1:14" x14ac:dyDescent="0.25">
      <c r="B12" s="10" t="s">
        <v>19</v>
      </c>
      <c r="C12" s="13">
        <f>C8*0.18</f>
        <v>3.7447199999999996</v>
      </c>
      <c r="D12" s="13">
        <f>D8*0.18</f>
        <v>15.121439999999998</v>
      </c>
      <c r="E12" s="13">
        <f>E8*0.18</f>
        <v>25.203959999999999</v>
      </c>
      <c r="F12" s="16">
        <f>F8*0.18</f>
        <v>44.1</v>
      </c>
      <c r="H12" s="10" t="s">
        <v>26</v>
      </c>
      <c r="I12" s="19">
        <f>SUM(I10:I11)</f>
        <v>0</v>
      </c>
      <c r="J12" s="19">
        <f>SUM(J10:J11)</f>
        <v>673</v>
      </c>
      <c r="K12" s="19">
        <f>SUM(K10:K11)</f>
        <v>1092</v>
      </c>
      <c r="L12" s="20">
        <f>SUM(L10:L11)</f>
        <v>2168.75</v>
      </c>
      <c r="M12" s="5"/>
      <c r="N12" s="5"/>
    </row>
    <row r="13" spans="1:14" x14ac:dyDescent="0.25">
      <c r="B13" s="10" t="s">
        <v>20</v>
      </c>
      <c r="C13" s="13">
        <f>C8*9.19</f>
        <v>191.18875999999997</v>
      </c>
      <c r="D13" s="13">
        <f>D8*9.19</f>
        <v>772.03351999999995</v>
      </c>
      <c r="E13" s="13">
        <f>E8*9.19</f>
        <v>1286.8021799999999</v>
      </c>
      <c r="F13" s="16">
        <f>F8*9.19</f>
        <v>2251.5499999999997</v>
      </c>
      <c r="H13" s="10"/>
      <c r="I13" s="13"/>
      <c r="J13" s="13"/>
      <c r="K13" s="13"/>
      <c r="L13" s="16"/>
      <c r="M13" s="5"/>
      <c r="N13" s="5"/>
    </row>
    <row r="14" spans="1:14" x14ac:dyDescent="0.25">
      <c r="B14" s="10" t="s">
        <v>21</v>
      </c>
      <c r="C14" s="13">
        <f>C29-SUM(C10:C13)</f>
        <v>248.70692953389346</v>
      </c>
      <c r="D14" s="13">
        <f>D29-SUM(D10:D13)</f>
        <v>1013.0372400000001</v>
      </c>
      <c r="E14" s="13">
        <f>E29-SUM(E10:E13)</f>
        <v>1983.213359808678</v>
      </c>
      <c r="F14" s="16">
        <f>F29-SUM(F10:F13)</f>
        <v>2580.9873449337701</v>
      </c>
      <c r="H14" s="10" t="s">
        <v>27</v>
      </c>
      <c r="I14" s="14">
        <f>I8-I12</f>
        <v>2215</v>
      </c>
      <c r="J14" s="14">
        <f>J8-J12</f>
        <v>561.98900000000003</v>
      </c>
      <c r="K14" s="14">
        <f>K8-K12</f>
        <v>344.952</v>
      </c>
      <c r="L14" s="15">
        <v>694</v>
      </c>
      <c r="M14" s="5"/>
      <c r="N14" s="18"/>
    </row>
    <row r="15" spans="1:14" x14ac:dyDescent="0.25">
      <c r="B15" s="10"/>
      <c r="C15" s="13"/>
      <c r="D15" s="13"/>
      <c r="E15" s="13"/>
      <c r="F15" s="16"/>
      <c r="H15" s="21"/>
      <c r="I15" s="22"/>
      <c r="J15" s="22"/>
      <c r="K15" s="22"/>
      <c r="L15" s="23"/>
      <c r="M15" s="5"/>
      <c r="N15" s="5"/>
    </row>
    <row r="16" spans="1:14" x14ac:dyDescent="0.25">
      <c r="B16" s="6" t="s">
        <v>22</v>
      </c>
      <c r="C16" s="9">
        <f>SUM(C10:C14)</f>
        <v>513.63380953389344</v>
      </c>
      <c r="D16" s="9">
        <f>SUM(D10:D14)</f>
        <v>2083.607</v>
      </c>
      <c r="E16" s="9">
        <f>SUM(E10:E14)</f>
        <v>3800.0631998086778</v>
      </c>
      <c r="F16" s="17">
        <f>SUM(F10:F14)</f>
        <v>5697.3873449337698</v>
      </c>
    </row>
    <row r="17" spans="2:6" x14ac:dyDescent="0.25">
      <c r="B17" s="10"/>
      <c r="C17" s="13"/>
      <c r="D17" s="13"/>
      <c r="E17" s="13"/>
      <c r="F17" s="16"/>
    </row>
    <row r="18" spans="2:6" x14ac:dyDescent="0.25">
      <c r="B18" s="10"/>
      <c r="C18" s="13"/>
      <c r="D18" s="13"/>
      <c r="E18" s="13"/>
      <c r="F18" s="16"/>
    </row>
    <row r="19" spans="2:6" x14ac:dyDescent="0.25">
      <c r="B19" s="10" t="s">
        <v>8</v>
      </c>
      <c r="C19" s="14">
        <f>(D19/D$10)*C$10</f>
        <v>198.09864565539635</v>
      </c>
      <c r="D19" s="14">
        <f>704.607+99</f>
        <v>803.60699999999997</v>
      </c>
      <c r="E19" s="14">
        <v>1603.3320000000001</v>
      </c>
      <c r="F19" s="15">
        <v>2478.6480000000001</v>
      </c>
    </row>
    <row r="20" spans="2:6" x14ac:dyDescent="0.25">
      <c r="B20" s="10" t="s">
        <v>12</v>
      </c>
      <c r="C20" s="13">
        <f t="shared" ref="C20:C22" si="0">(D20/D$10)*C$10</f>
        <v>31.553516387849701</v>
      </c>
      <c r="D20" s="13">
        <v>128</v>
      </c>
      <c r="E20" s="13">
        <f>(D20/D$19)*E$19</f>
        <v>255.3816679048341</v>
      </c>
      <c r="F20" s="16">
        <f>(E20/E$19)*F$19</f>
        <v>394.80360922689829</v>
      </c>
    </row>
    <row r="21" spans="2:6" x14ac:dyDescent="0.25">
      <c r="B21" s="10" t="s">
        <v>10</v>
      </c>
      <c r="C21" s="13">
        <f t="shared" si="0"/>
        <v>80.362862050304713</v>
      </c>
      <c r="D21" s="13">
        <f>177+149</f>
        <v>326</v>
      </c>
      <c r="E21" s="13">
        <f>D21*1.25</f>
        <v>407.5</v>
      </c>
      <c r="F21" s="16">
        <f>E21*1.25</f>
        <v>509.375</v>
      </c>
    </row>
    <row r="22" spans="2:6" x14ac:dyDescent="0.25">
      <c r="B22" s="10" t="s">
        <v>9</v>
      </c>
      <c r="C22" s="13">
        <f t="shared" si="0"/>
        <v>145.68850144702478</v>
      </c>
      <c r="D22" s="13">
        <v>591</v>
      </c>
      <c r="E22" s="13">
        <f>(D22/(D21+D20+D19))*(E19+E20+E21)</f>
        <v>1064.9847509848125</v>
      </c>
      <c r="F22" s="16">
        <f>(E22/(E21+E20+E19))*(F19+F20+F21)</f>
        <v>1589.7259843918625</v>
      </c>
    </row>
    <row r="23" spans="2:6" x14ac:dyDescent="0.25">
      <c r="B23" s="10" t="s">
        <v>11</v>
      </c>
      <c r="C23" s="13">
        <f>SUM(C19:C22)</f>
        <v>455.70352554057558</v>
      </c>
      <c r="D23" s="13">
        <f>SUM(D19:D22)</f>
        <v>1848.607</v>
      </c>
      <c r="E23" s="13">
        <f>SUM(E19:E22)</f>
        <v>3331.1984188896467</v>
      </c>
      <c r="F23" s="16">
        <f>SUM(F19:F22)</f>
        <v>4972.5525936187614</v>
      </c>
    </row>
    <row r="24" spans="2:6" x14ac:dyDescent="0.25">
      <c r="B24" s="10"/>
      <c r="C24" s="13"/>
      <c r="D24" s="13"/>
      <c r="E24" s="13"/>
      <c r="F24" s="16"/>
    </row>
    <row r="25" spans="2:6" x14ac:dyDescent="0.25">
      <c r="B25" s="10" t="s">
        <v>13</v>
      </c>
      <c r="C25" s="13">
        <f>(D25/D$10)*C$10</f>
        <v>28.841886073268867</v>
      </c>
      <c r="D25" s="13">
        <v>117</v>
      </c>
      <c r="E25" s="13">
        <f>(D25/D$19)*E$19</f>
        <v>233.43480581926244</v>
      </c>
      <c r="F25" s="16">
        <f>(E25/E$19)*F$19</f>
        <v>360.8751740589617</v>
      </c>
    </row>
    <row r="26" spans="2:6" x14ac:dyDescent="0.25">
      <c r="B26" s="10"/>
      <c r="C26" s="13"/>
      <c r="D26" s="13"/>
      <c r="E26" s="13"/>
      <c r="F26" s="16"/>
    </row>
    <row r="27" spans="2:6" x14ac:dyDescent="0.25">
      <c r="B27" s="10" t="s">
        <v>14</v>
      </c>
      <c r="C27" s="13">
        <f>(D27/D$10)*C$10</f>
        <v>29.088397920048944</v>
      </c>
      <c r="D27" s="13">
        <v>118</v>
      </c>
      <c r="E27" s="13">
        <f>(D27/D$19)*E$19</f>
        <v>235.42997509976894</v>
      </c>
      <c r="F27" s="16">
        <f>(E27/E$19)*F$19</f>
        <v>363.95957725604683</v>
      </c>
    </row>
    <row r="28" spans="2:6" x14ac:dyDescent="0.25">
      <c r="B28" s="10"/>
      <c r="C28" s="13"/>
      <c r="D28" s="13"/>
      <c r="E28" s="13"/>
      <c r="F28" s="16"/>
    </row>
    <row r="29" spans="2:6" x14ac:dyDescent="0.25">
      <c r="B29" s="6" t="s">
        <v>15</v>
      </c>
      <c r="C29" s="9">
        <f>C23+C25+C27</f>
        <v>513.63380953389344</v>
      </c>
      <c r="D29" s="9">
        <f>D23+D25+D27</f>
        <v>2083.607</v>
      </c>
      <c r="E29" s="9">
        <f>E23+E25+E27</f>
        <v>3800.0631998086778</v>
      </c>
      <c r="F29" s="17">
        <f>F23+F25+F27</f>
        <v>5697.3873449337698</v>
      </c>
    </row>
    <row r="30" spans="2:6" x14ac:dyDescent="0.25">
      <c r="C30" s="5"/>
      <c r="D30" s="5"/>
      <c r="E30" s="5"/>
      <c r="F30" s="5"/>
    </row>
    <row r="31" spans="2:6" x14ac:dyDescent="0.25">
      <c r="C31" s="5"/>
      <c r="D31" s="5"/>
      <c r="E31" s="5"/>
      <c r="F31" s="5"/>
    </row>
    <row r="32" spans="2:6" x14ac:dyDescent="0.25">
      <c r="C32" s="5"/>
      <c r="D32" s="5"/>
      <c r="E32" s="5"/>
      <c r="F3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1A1700288AB44A6F8F733FB0692B4" ma:contentTypeVersion="14" ma:contentTypeDescription="Create a new document." ma:contentTypeScope="" ma:versionID="4689af68290eb0b2fb1e853dbdec74b9">
  <xsd:schema xmlns:xsd="http://www.w3.org/2001/XMLSchema" xmlns:xs="http://www.w3.org/2001/XMLSchema" xmlns:p="http://schemas.microsoft.com/office/2006/metadata/properties" xmlns:ns2="adf42945-313f-404e-8888-b29adbe5d9de" xmlns:ns3="ba8634e3-3484-4f9c-a4c2-f0eaf0b2e3ee" targetNamespace="http://schemas.microsoft.com/office/2006/metadata/properties" ma:root="true" ma:fieldsID="f9cf2601fad41c0ae9c2881091530dbf" ns2:_="" ns3:_="">
    <xsd:import namespace="adf42945-313f-404e-8888-b29adbe5d9de"/>
    <xsd:import namespace="ba8634e3-3484-4f9c-a4c2-f0eaf0b2e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42945-313f-404e-8888-b29adbe5d9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6be006e-79d8-4dce-a5c2-9b91ffe31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8634e3-3484-4f9c-a4c2-f0eaf0b2e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ba955-da88-47e1-84ec-4a05a42a1770}" ma:internalName="TaxCatchAll" ma:showField="CatchAllData" ma:web="ba8634e3-3484-4f9c-a4c2-f0eaf0b2e3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42945-313f-404e-8888-b29adbe5d9de">
      <Terms xmlns="http://schemas.microsoft.com/office/infopath/2007/PartnerControls"/>
    </lcf76f155ced4ddcb4097134ff3c332f>
    <TaxCatchAll xmlns="ba8634e3-3484-4f9c-a4c2-f0eaf0b2e3ee" xsi:nil="true"/>
  </documentManagement>
</p:properties>
</file>

<file path=customXml/itemProps1.xml><?xml version="1.0" encoding="utf-8"?>
<ds:datastoreItem xmlns:ds="http://schemas.openxmlformats.org/officeDocument/2006/customXml" ds:itemID="{4AE6F755-F59B-4E71-9EB8-A65365DC7E12}"/>
</file>

<file path=customXml/itemProps2.xml><?xml version="1.0" encoding="utf-8"?>
<ds:datastoreItem xmlns:ds="http://schemas.openxmlformats.org/officeDocument/2006/customXml" ds:itemID="{9247F471-599C-4D1A-B907-0A48CF54733B}"/>
</file>

<file path=customXml/itemProps3.xml><?xml version="1.0" encoding="utf-8"?>
<ds:datastoreItem xmlns:ds="http://schemas.openxmlformats.org/officeDocument/2006/customXml" ds:itemID="{DC52A7B3-9F9B-4305-8E02-832762E1694D}"/>
</file>

<file path=docMetadata/LabelInfo.xml><?xml version="1.0" encoding="utf-8"?>
<clbl:labelList xmlns:clbl="http://schemas.microsoft.com/office/2020/mipLabelMetadata">
  <clbl:label id="{b847c2f0-baef-4664-a416-a3edbe0281c7}" enabled="0" method="" siteId="{b847c2f0-baef-4664-a416-a3edbe0281c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A. Ruth</dc:creator>
  <cp:lastModifiedBy>Kevin A. Ruth</cp:lastModifiedBy>
  <dcterms:created xsi:type="dcterms:W3CDTF">2026-06-18T12:07:32Z</dcterms:created>
  <dcterms:modified xsi:type="dcterms:W3CDTF">2026-06-18T13:06:35Z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0x0101007081A1700288AB44A6F8F733FB0692B4</vt:lpwstr>
  </property>
</Properties>
</file>