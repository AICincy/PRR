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https://m365gometro-my.sharepoint.com/personal/mhuller_go-metro_com/Documents/Documents/M Drive/2026/Records Request/"/>
    </mc:Choice>
  </mc:AlternateContent>
  <xr:revisionPtr revIDLastSave="50" documentId="8_{9321F828-4D78-4DEA-A293-B8D123795C20}" xr6:coauthVersionLast="47" xr6:coauthVersionMax="47" xr10:uidLastSave="{7D76715F-2B3C-430A-989F-A49FE00C0B2E}"/>
  <bookViews>
    <workbookView xWindow="28680" yWindow="-120" windowWidth="29040" windowHeight="15720" xr2:uid="{00000000-000D-0000-FFFF-FFFF00000000}"/>
  </bookViews>
  <sheets>
    <sheet name="1" sheetId="7" r:id="rId1"/>
    <sheet name="Sheet1" sheetId="10" r:id="rId2"/>
    <sheet name="Sheet2" sheetId="1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7" l="1"/>
  <c r="L19" i="7"/>
  <c r="L20" i="7"/>
  <c r="L21" i="7"/>
  <c r="L22" i="7"/>
  <c r="L23" i="7"/>
  <c r="L24" i="7"/>
  <c r="L25" i="7"/>
  <c r="L26" i="7"/>
  <c r="L27" i="7"/>
  <c r="L28" i="7"/>
  <c r="L29" i="7"/>
  <c r="L17" i="7"/>
  <c r="L16" i="7"/>
  <c r="J8" i="10" l="1"/>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G8" i="10"/>
  <c r="AH8" i="10"/>
  <c r="J9" i="10"/>
  <c r="AG9" i="10"/>
  <c r="AH9" i="10"/>
  <c r="J10" i="10"/>
  <c r="AG10" i="10"/>
  <c r="AH10" i="10"/>
  <c r="J11" i="10"/>
  <c r="AG11" i="10"/>
  <c r="AH11" i="10"/>
  <c r="J12" i="10"/>
  <c r="AG12" i="10"/>
  <c r="AH12" i="10"/>
  <c r="J13" i="10"/>
  <c r="AG13" i="10"/>
  <c r="AH13" i="10"/>
  <c r="J14" i="10"/>
  <c r="AG14" i="10"/>
  <c r="AH14" i="10"/>
  <c r="J15" i="10"/>
  <c r="AG15" i="10"/>
  <c r="AH15" i="10"/>
  <c r="J16" i="10"/>
  <c r="AG16" i="10"/>
  <c r="AH16" i="10"/>
  <c r="J17" i="10"/>
  <c r="AG17" i="10"/>
  <c r="AH17" i="10"/>
  <c r="J18" i="10"/>
  <c r="AG18" i="10"/>
  <c r="AH18" i="10"/>
  <c r="J19" i="10"/>
  <c r="AG19" i="10"/>
  <c r="AH19" i="10"/>
  <c r="J20" i="10"/>
  <c r="AG20" i="10"/>
  <c r="AH20" i="10"/>
  <c r="J21" i="10"/>
  <c r="AG21" i="10"/>
  <c r="AH21" i="10"/>
  <c r="J22" i="10"/>
  <c r="AG22" i="10"/>
  <c r="AH22" i="10"/>
  <c r="J23" i="10"/>
  <c r="AG23" i="10"/>
  <c r="AH23" i="10"/>
  <c r="J24" i="10"/>
  <c r="AG24" i="10"/>
  <c r="AH24" i="10"/>
  <c r="J25" i="10"/>
  <c r="AG25" i="10"/>
  <c r="AH25" i="10"/>
  <c r="J26" i="10"/>
  <c r="AG26" i="10"/>
  <c r="AH26" i="10"/>
  <c r="J27" i="10"/>
  <c r="AG27" i="10"/>
  <c r="AH27" i="10"/>
  <c r="J28" i="10"/>
  <c r="AG28" i="10"/>
  <c r="AH28" i="10"/>
  <c r="J29" i="10"/>
  <c r="AG29" i="10"/>
  <c r="AH29" i="10"/>
  <c r="J30" i="10"/>
  <c r="AG30" i="10"/>
  <c r="AH30" i="10"/>
  <c r="J31" i="10"/>
  <c r="AG31" i="10"/>
  <c r="AH31" i="10"/>
  <c r="J32" i="10"/>
  <c r="AG32" i="10"/>
  <c r="AH32" i="10"/>
  <c r="J33" i="10"/>
  <c r="AG33" i="10"/>
  <c r="AH33" i="10"/>
  <c r="J34" i="10"/>
  <c r="AG34" i="10"/>
  <c r="AH34" i="10"/>
  <c r="J35" i="10"/>
  <c r="AG35" i="10"/>
  <c r="AH35" i="10"/>
  <c r="J36" i="10"/>
  <c r="AG36" i="10"/>
  <c r="AH36" i="10"/>
  <c r="J37" i="10"/>
  <c r="AG37" i="10"/>
  <c r="AH37" i="10"/>
  <c r="J38" i="10"/>
  <c r="AG38" i="10"/>
  <c r="J39" i="10"/>
  <c r="AG39" i="10"/>
  <c r="AH39" i="10"/>
  <c r="J40" i="10"/>
  <c r="AG40" i="10"/>
  <c r="AH40" i="10"/>
  <c r="J41" i="10"/>
  <c r="AG41" i="10"/>
  <c r="AH41" i="10"/>
  <c r="J42" i="10"/>
  <c r="AG42" i="10"/>
  <c r="AH42" i="10"/>
  <c r="J43" i="10"/>
  <c r="AG43" i="10"/>
  <c r="AH43" i="10"/>
  <c r="J44" i="10"/>
  <c r="AG44" i="10"/>
  <c r="AH44" i="10"/>
  <c r="J45" i="10"/>
  <c r="AG45" i="10"/>
  <c r="J46" i="10"/>
  <c r="AG46" i="10"/>
  <c r="AH46" i="10"/>
  <c r="J47" i="10"/>
  <c r="AG47" i="10"/>
  <c r="AH47" i="10"/>
  <c r="AC48" i="10"/>
  <c r="J50" i="10"/>
  <c r="AD50" i="10"/>
  <c r="AD51" i="10"/>
  <c r="AD52" i="10"/>
  <c r="AD53" i="10"/>
  <c r="AD54" i="10"/>
  <c r="AD55" i="10"/>
  <c r="AD56" i="10"/>
  <c r="AD57" i="10"/>
  <c r="AD58" i="10"/>
  <c r="AD59" i="10"/>
  <c r="AD60" i="10"/>
  <c r="AD61" i="10"/>
  <c r="AD62" i="10"/>
  <c r="AD63" i="10"/>
  <c r="AD64" i="10"/>
  <c r="AD65" i="10"/>
  <c r="AD66" i="10"/>
  <c r="AD67" i="10"/>
  <c r="AD68" i="10"/>
  <c r="AG50" i="10"/>
  <c r="AH50" i="10"/>
  <c r="J51" i="10"/>
  <c r="AG51" i="10"/>
  <c r="J52" i="10"/>
  <c r="AG52" i="10"/>
  <c r="AH52" i="10"/>
  <c r="J53" i="10"/>
  <c r="AG53" i="10"/>
  <c r="AH53" i="10"/>
  <c r="J54" i="10"/>
  <c r="AG54" i="10"/>
  <c r="AH54" i="10"/>
  <c r="J55" i="10"/>
  <c r="AG55" i="10"/>
  <c r="AH55" i="10"/>
  <c r="AH69" i="10"/>
  <c r="J56" i="10"/>
  <c r="AG56" i="10"/>
  <c r="AH56" i="10"/>
  <c r="J57" i="10"/>
  <c r="AG57" i="10"/>
  <c r="AH57" i="10"/>
  <c r="J58" i="10"/>
  <c r="AG58" i="10"/>
  <c r="J59" i="10"/>
  <c r="AG59" i="10"/>
  <c r="AH59" i="10"/>
  <c r="J60" i="10"/>
  <c r="AG60" i="10"/>
  <c r="AH60" i="10"/>
  <c r="J61" i="10"/>
  <c r="AG61" i="10"/>
  <c r="AH61" i="10"/>
  <c r="J62" i="10"/>
  <c r="AG62" i="10"/>
  <c r="AH62" i="10"/>
  <c r="J63" i="10"/>
  <c r="AG63" i="10"/>
  <c r="AH63" i="10"/>
  <c r="J64" i="10"/>
  <c r="AG64" i="10"/>
  <c r="AH64" i="10"/>
  <c r="J65" i="10"/>
  <c r="AG65" i="10"/>
  <c r="AH65" i="10"/>
  <c r="J66" i="10"/>
  <c r="AG66" i="10"/>
  <c r="AH66" i="10"/>
  <c r="J67" i="10"/>
  <c r="AG67" i="10"/>
  <c r="AH67" i="10"/>
  <c r="J68" i="10"/>
  <c r="AG68" i="10"/>
  <c r="AH68" i="10"/>
  <c r="AC69" i="10"/>
  <c r="J72" i="10"/>
  <c r="AD72" i="10"/>
  <c r="AD73" i="10"/>
  <c r="AD74" i="10"/>
  <c r="AD75" i="10"/>
  <c r="AD76" i="10"/>
  <c r="AD77" i="10"/>
  <c r="AD78" i="10"/>
  <c r="AD79" i="10"/>
  <c r="AD80" i="10"/>
  <c r="AD81" i="10"/>
  <c r="AD82" i="10"/>
  <c r="AD83" i="10"/>
  <c r="AD84" i="10"/>
  <c r="AD85" i="10"/>
  <c r="AD86" i="10"/>
  <c r="AD97" i="10"/>
  <c r="AD98" i="10"/>
  <c r="AD99" i="10"/>
  <c r="AD100" i="10"/>
  <c r="AD101" i="10"/>
  <c r="AD102" i="10"/>
  <c r="AG72" i="10"/>
  <c r="AH72" i="10"/>
  <c r="J73" i="10"/>
  <c r="AG73" i="10"/>
  <c r="AH73" i="10"/>
  <c r="J74" i="10"/>
  <c r="AG74" i="10"/>
  <c r="AH74" i="10"/>
  <c r="J75" i="10"/>
  <c r="AG75" i="10"/>
  <c r="AH75" i="10"/>
  <c r="J76" i="10"/>
  <c r="AG76" i="10"/>
  <c r="AH76" i="10"/>
  <c r="J77" i="10"/>
  <c r="AG77" i="10"/>
  <c r="AH77" i="10"/>
  <c r="J78" i="10"/>
  <c r="AG78" i="10"/>
  <c r="AH78" i="10"/>
  <c r="J79" i="10"/>
  <c r="AG79" i="10"/>
  <c r="AH79" i="10"/>
  <c r="J80" i="10"/>
  <c r="AG80" i="10"/>
  <c r="AH80" i="10"/>
  <c r="J81" i="10"/>
  <c r="AG81" i="10"/>
  <c r="AH81" i="10"/>
  <c r="J82" i="10"/>
  <c r="AG82" i="10"/>
  <c r="AH82" i="10"/>
  <c r="AG83" i="10"/>
  <c r="AH83" i="10"/>
  <c r="J84" i="10"/>
  <c r="AG84" i="10"/>
  <c r="AH84" i="10"/>
  <c r="J85" i="10"/>
  <c r="AG85" i="10"/>
  <c r="AH85" i="10"/>
  <c r="J86" i="10"/>
  <c r="AG86" i="10"/>
  <c r="AH86" i="10"/>
  <c r="J87" i="10"/>
  <c r="AG87" i="10"/>
  <c r="AH87" i="10"/>
  <c r="J88" i="10"/>
  <c r="AH88" i="10"/>
  <c r="J89" i="10"/>
  <c r="AH89" i="10"/>
  <c r="J90" i="10"/>
  <c r="AH90" i="10"/>
  <c r="J91" i="10"/>
  <c r="AH91" i="10"/>
  <c r="J92" i="10"/>
  <c r="AH92" i="10"/>
  <c r="J93" i="10"/>
  <c r="AH93" i="10"/>
  <c r="J94" i="10"/>
  <c r="AH94" i="10"/>
  <c r="J95" i="10"/>
  <c r="AH95" i="10"/>
  <c r="J96" i="10"/>
  <c r="AH96" i="10"/>
  <c r="J97" i="10"/>
  <c r="AG97" i="10"/>
  <c r="AH97" i="10"/>
  <c r="J98" i="10"/>
  <c r="AG98" i="10"/>
  <c r="AH98" i="10"/>
  <c r="J99" i="10"/>
  <c r="AG99" i="10"/>
  <c r="AH99" i="10"/>
  <c r="J100" i="10"/>
  <c r="AG100" i="10"/>
  <c r="AH100" i="10"/>
  <c r="J101" i="10"/>
  <c r="AG101" i="10"/>
  <c r="AH101" i="10"/>
  <c r="J102" i="10"/>
  <c r="AG102" i="10"/>
  <c r="AH102" i="10"/>
  <c r="J109"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G109" i="10"/>
  <c r="AH109" i="10"/>
  <c r="J110" i="10"/>
  <c r="AG110" i="10"/>
  <c r="AH110" i="10"/>
  <c r="J111" i="10"/>
  <c r="AG111" i="10"/>
  <c r="AH111" i="10"/>
  <c r="J112" i="10"/>
  <c r="AG112" i="10"/>
  <c r="AH112" i="10"/>
  <c r="J113" i="10"/>
  <c r="AG113" i="10"/>
  <c r="AH113" i="10"/>
  <c r="J114" i="10"/>
  <c r="AG114" i="10"/>
  <c r="AH114" i="10"/>
  <c r="J115" i="10"/>
  <c r="AG115" i="10"/>
  <c r="AH115" i="10"/>
  <c r="J116" i="10"/>
  <c r="AG116" i="10"/>
  <c r="AH116" i="10"/>
  <c r="J117" i="10"/>
  <c r="AG117" i="10"/>
  <c r="AH117" i="10"/>
  <c r="J118" i="10"/>
  <c r="AG118" i="10"/>
  <c r="J119" i="10"/>
  <c r="AG119" i="10"/>
  <c r="AH119" i="10"/>
  <c r="J120" i="10"/>
  <c r="AG120" i="10"/>
  <c r="AH120" i="10"/>
  <c r="J121" i="10"/>
  <c r="AG121" i="10"/>
  <c r="AH121" i="10"/>
  <c r="J122" i="10"/>
  <c r="AG122" i="10"/>
  <c r="J123" i="10"/>
  <c r="AG123" i="10"/>
  <c r="AH123" i="10"/>
  <c r="J124" i="10"/>
  <c r="AG124" i="10"/>
  <c r="AH124" i="10"/>
  <c r="J125" i="10"/>
  <c r="AG125" i="10"/>
  <c r="AH125" i="10"/>
  <c r="J126" i="10"/>
  <c r="AG126" i="10"/>
  <c r="AH126" i="10"/>
  <c r="J127" i="10"/>
  <c r="AG127" i="10"/>
  <c r="AH127" i="10"/>
  <c r="J128" i="10"/>
  <c r="AG128" i="10"/>
  <c r="AH128" i="10"/>
  <c r="J129" i="10"/>
  <c r="AG129" i="10"/>
  <c r="AH129" i="10"/>
  <c r="J130" i="10"/>
  <c r="AG130" i="10"/>
  <c r="AH130" i="10"/>
  <c r="J131" i="10"/>
  <c r="AG131" i="10"/>
  <c r="AH131" i="10"/>
  <c r="J132" i="10"/>
  <c r="AG132" i="10"/>
  <c r="AH132" i="10"/>
  <c r="J133" i="10"/>
  <c r="AG133" i="10"/>
  <c r="AH133" i="10"/>
  <c r="J134" i="10"/>
  <c r="AG134" i="10"/>
  <c r="AH134" i="10"/>
  <c r="J135" i="10"/>
  <c r="AG135" i="10"/>
  <c r="AH135" i="10"/>
  <c r="J136" i="10"/>
  <c r="AG136" i="10"/>
  <c r="AH136" i="10"/>
  <c r="J137" i="10"/>
  <c r="AG137" i="10"/>
  <c r="AH137" i="10"/>
  <c r="J138" i="10"/>
  <c r="AG138" i="10"/>
  <c r="AH138" i="10"/>
  <c r="J139" i="10"/>
  <c r="AG139" i="10"/>
  <c r="AH139" i="10"/>
  <c r="J140" i="10"/>
  <c r="AG140" i="10"/>
  <c r="AH140" i="10"/>
  <c r="J141" i="10"/>
  <c r="AG141" i="10"/>
  <c r="AH141" i="10"/>
  <c r="J142" i="10"/>
  <c r="AG142" i="10"/>
  <c r="AH142" i="10"/>
  <c r="J143" i="10"/>
  <c r="AG143" i="10"/>
  <c r="AH143" i="10"/>
  <c r="AN148" i="10"/>
  <c r="J144" i="10"/>
  <c r="AG144" i="10"/>
  <c r="AH144" i="10"/>
  <c r="J145" i="10"/>
  <c r="AG145" i="10"/>
  <c r="AH145" i="10"/>
  <c r="J146" i="10"/>
  <c r="AG146" i="10"/>
  <c r="AH146" i="10"/>
  <c r="J147" i="10"/>
  <c r="AG147" i="10"/>
  <c r="AH147" i="10"/>
  <c r="J148" i="10"/>
  <c r="AG148" i="10"/>
  <c r="AH148" i="10"/>
  <c r="AC149" i="10"/>
  <c r="J151" i="10"/>
  <c r="AD151" i="10"/>
  <c r="AD152" i="10"/>
  <c r="AD153" i="10"/>
  <c r="AD154" i="10"/>
  <c r="AD155" i="10"/>
  <c r="AD156" i="10"/>
  <c r="AD157" i="10"/>
  <c r="AD158" i="10"/>
  <c r="AD159" i="10"/>
  <c r="AD160" i="10"/>
  <c r="AD161" i="10"/>
  <c r="AD162" i="10"/>
  <c r="AD163" i="10"/>
  <c r="AD164" i="10"/>
  <c r="AD165" i="10"/>
  <c r="AD166" i="10"/>
  <c r="AD167" i="10"/>
  <c r="AD168" i="10"/>
  <c r="AD169" i="10"/>
  <c r="AG151" i="10"/>
  <c r="J152" i="10"/>
  <c r="AG152" i="10"/>
  <c r="AH152" i="10"/>
  <c r="J153" i="10"/>
  <c r="AG153" i="10"/>
  <c r="AH153" i="10"/>
  <c r="J154" i="10"/>
  <c r="AG154" i="10"/>
  <c r="AH154" i="10"/>
  <c r="J155" i="10"/>
  <c r="AG155" i="10"/>
  <c r="J156" i="10"/>
  <c r="AG156" i="10"/>
  <c r="AH156" i="10"/>
  <c r="J157" i="10"/>
  <c r="AG157" i="10"/>
  <c r="AH157" i="10"/>
  <c r="J158" i="10"/>
  <c r="AG158" i="10"/>
  <c r="AH158" i="10"/>
  <c r="J159" i="10"/>
  <c r="AG159" i="10"/>
  <c r="AH159" i="10"/>
  <c r="J160" i="10"/>
  <c r="AG160" i="10"/>
  <c r="AH160" i="10"/>
  <c r="J161" i="10"/>
  <c r="AG161" i="10"/>
  <c r="J162" i="10"/>
  <c r="AG162" i="10"/>
  <c r="AH162" i="10"/>
  <c r="J163" i="10"/>
  <c r="AG163" i="10"/>
  <c r="AH163" i="10"/>
  <c r="J164" i="10"/>
  <c r="AG164" i="10"/>
  <c r="AH164" i="10"/>
  <c r="J165" i="10"/>
  <c r="AG165" i="10"/>
  <c r="AH165" i="10"/>
  <c r="J166" i="10"/>
  <c r="AG166" i="10"/>
  <c r="AH166" i="10"/>
  <c r="J167" i="10"/>
  <c r="AG167" i="10"/>
  <c r="AH167" i="10"/>
  <c r="J168" i="10"/>
  <c r="AG168" i="10"/>
  <c r="AH168" i="10"/>
  <c r="J169" i="10"/>
  <c r="AG169" i="10"/>
  <c r="AH169" i="10"/>
  <c r="AC170" i="10"/>
  <c r="J173" i="10"/>
  <c r="AD173" i="10"/>
  <c r="AD174" i="10"/>
  <c r="AD175" i="10"/>
  <c r="AD176" i="10"/>
  <c r="AD177" i="10"/>
  <c r="AD178" i="10"/>
  <c r="AD179" i="10"/>
  <c r="AD180" i="10"/>
  <c r="AD181" i="10"/>
  <c r="AD182" i="10"/>
  <c r="AD183" i="10"/>
  <c r="AD184" i="10"/>
  <c r="AD185" i="10"/>
  <c r="AD186" i="10"/>
  <c r="AD187" i="10"/>
  <c r="AD198" i="10"/>
  <c r="AD199" i="10"/>
  <c r="AD200" i="10"/>
  <c r="AD201" i="10"/>
  <c r="AD202" i="10"/>
  <c r="AD203" i="10"/>
  <c r="AG173" i="10"/>
  <c r="AH173" i="10"/>
  <c r="J174" i="10"/>
  <c r="AG174" i="10"/>
  <c r="AH174" i="10"/>
  <c r="J175" i="10"/>
  <c r="AG175" i="10"/>
  <c r="AH175" i="10"/>
  <c r="J176" i="10"/>
  <c r="AG176" i="10"/>
  <c r="AH176" i="10"/>
  <c r="J177" i="10"/>
  <c r="AG177" i="10"/>
  <c r="AH177" i="10"/>
  <c r="J178" i="10"/>
  <c r="AG178" i="10"/>
  <c r="AH178" i="10"/>
  <c r="J179" i="10"/>
  <c r="AG179" i="10"/>
  <c r="AH179" i="10"/>
  <c r="J180" i="10"/>
  <c r="AG180" i="10"/>
  <c r="AH180" i="10"/>
  <c r="J181" i="10"/>
  <c r="AG181" i="10"/>
  <c r="AH181" i="10"/>
  <c r="J182" i="10"/>
  <c r="AG182" i="10"/>
  <c r="AH182" i="10"/>
  <c r="J183" i="10"/>
  <c r="AG183" i="10"/>
  <c r="AH183" i="10"/>
  <c r="AG184" i="10"/>
  <c r="AH184" i="10"/>
  <c r="J185" i="10"/>
  <c r="AG185" i="10"/>
  <c r="AH185" i="10"/>
  <c r="J186" i="10"/>
  <c r="AG186" i="10"/>
  <c r="AH186" i="10"/>
  <c r="J187" i="10"/>
  <c r="AG187" i="10"/>
  <c r="AH187" i="10"/>
  <c r="J188" i="10"/>
  <c r="AG188" i="10"/>
  <c r="AH188" i="10"/>
  <c r="J189" i="10"/>
  <c r="AH189" i="10"/>
  <c r="J190" i="10"/>
  <c r="AH190" i="10"/>
  <c r="J191" i="10"/>
  <c r="AH191" i="10"/>
  <c r="J192" i="10"/>
  <c r="AH192" i="10"/>
  <c r="J193" i="10"/>
  <c r="AH193" i="10"/>
  <c r="J194" i="10"/>
  <c r="AH194" i="10"/>
  <c r="J195" i="10"/>
  <c r="AH195" i="10"/>
  <c r="J196" i="10"/>
  <c r="AH196" i="10"/>
  <c r="J197" i="10"/>
  <c r="AH197" i="10"/>
  <c r="J198" i="10"/>
  <c r="AG198" i="10"/>
  <c r="AH198" i="10"/>
  <c r="J199" i="10"/>
  <c r="AG199" i="10"/>
  <c r="AH199" i="10"/>
  <c r="J200" i="10"/>
  <c r="AG200" i="10"/>
  <c r="AH200" i="10"/>
  <c r="J201" i="10"/>
  <c r="AG201" i="10"/>
  <c r="AH201" i="10"/>
  <c r="J202" i="10"/>
  <c r="AG202" i="10"/>
  <c r="AH202" i="10"/>
  <c r="J203" i="10"/>
  <c r="AG203" i="10"/>
  <c r="AH203" i="10"/>
  <c r="AH151" i="10"/>
  <c r="AH118" i="10"/>
  <c r="AH149" i="10"/>
  <c r="AH51" i="10"/>
  <c r="AH45" i="10"/>
  <c r="AH161" i="10"/>
  <c r="AH155" i="10"/>
  <c r="AG170" i="10"/>
  <c r="AH58" i="10"/>
  <c r="AH122" i="10"/>
  <c r="AH38" i="10"/>
  <c r="AG69" i="10"/>
  <c r="AG149" i="10"/>
  <c r="AG48" i="10"/>
  <c r="AH170" i="10"/>
  <c r="AH48" i="10"/>
  <c r="AN4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 Wilcoxson</author>
    <author>AWilcoxson</author>
  </authors>
  <commentList>
    <comment ref="D18" authorId="0" shapeId="0" xr:uid="{00000000-0006-0000-0700-000001000000}">
      <text>
        <r>
          <rPr>
            <b/>
            <sz val="9"/>
            <color indexed="81"/>
            <rFont val="Tahoma"/>
            <family val="2"/>
          </rPr>
          <t>Adam Wilcoxson:</t>
        </r>
        <r>
          <rPr>
            <sz val="9"/>
            <color indexed="81"/>
            <rFont val="Tahoma"/>
            <family val="2"/>
          </rPr>
          <t xml:space="preserve">
was o.o.s. 1 yr.  Can't replace until 2017</t>
        </r>
      </text>
    </comment>
    <comment ref="D38" authorId="0" shapeId="0" xr:uid="{00000000-0006-0000-0700-000002000000}">
      <text>
        <r>
          <rPr>
            <b/>
            <sz val="9"/>
            <color indexed="81"/>
            <rFont val="Tahoma"/>
            <family val="2"/>
          </rPr>
          <t>Adam Wilcoxson:</t>
        </r>
        <r>
          <rPr>
            <sz val="9"/>
            <color indexed="81"/>
            <rFont val="Tahoma"/>
            <family val="2"/>
          </rPr>
          <t xml:space="preserve">
was o.o.s. 1 year.  Can't replace until 2017
</t>
        </r>
      </text>
    </comment>
    <comment ref="D42" authorId="1" shapeId="0" xr:uid="{00000000-0006-0000-0700-000003000000}">
      <text>
        <r>
          <rPr>
            <b/>
            <sz val="8"/>
            <color indexed="81"/>
            <rFont val="Tahoma"/>
            <family val="2"/>
          </rPr>
          <t>AWilcoxson:</t>
        </r>
        <r>
          <rPr>
            <sz val="8"/>
            <color indexed="81"/>
            <rFont val="Tahoma"/>
            <family val="2"/>
          </rPr>
          <t xml:space="preserve">
o.o.s. for 7 months….can't replace until 2019
</t>
        </r>
      </text>
    </comment>
    <comment ref="D66" authorId="1" shapeId="0" xr:uid="{00000000-0006-0000-0700-000004000000}">
      <text>
        <r>
          <rPr>
            <b/>
            <sz val="8"/>
            <color indexed="81"/>
            <rFont val="Tahoma"/>
            <family val="2"/>
          </rPr>
          <t>AWilcoxson:</t>
        </r>
        <r>
          <rPr>
            <sz val="8"/>
            <color indexed="81"/>
            <rFont val="Tahoma"/>
            <family val="2"/>
          </rPr>
          <t xml:space="preserve">
First date out of service: 1/25/2010.  Returned to service 3-21-13</t>
        </r>
      </text>
    </comment>
    <comment ref="D73" authorId="0" shapeId="0" xr:uid="{00000000-0006-0000-0700-000005000000}">
      <text>
        <r>
          <rPr>
            <b/>
            <sz val="9"/>
            <color indexed="81"/>
            <rFont val="Tahoma"/>
            <family val="2"/>
          </rPr>
          <t>Adam Wilcoxson:</t>
        </r>
        <r>
          <rPr>
            <sz val="9"/>
            <color indexed="81"/>
            <rFont val="Tahoma"/>
            <family val="2"/>
          </rPr>
          <t xml:space="preserve">
o.o.s. 9 months.  Can't replace until 2019
</t>
        </r>
      </text>
    </comment>
    <comment ref="D84" authorId="0" shapeId="0" xr:uid="{00000000-0006-0000-0700-000006000000}">
      <text>
        <r>
          <rPr>
            <b/>
            <sz val="9"/>
            <color indexed="81"/>
            <rFont val="Tahoma"/>
            <family val="2"/>
          </rPr>
          <t>Adam Wilcoxson:</t>
        </r>
        <r>
          <rPr>
            <sz val="9"/>
            <color indexed="81"/>
            <rFont val="Tahoma"/>
            <family val="2"/>
          </rPr>
          <t xml:space="preserve">
out of service 9 mo.  Can't replace until 2019
</t>
        </r>
      </text>
    </comment>
  </commentList>
</comments>
</file>

<file path=xl/sharedStrings.xml><?xml version="1.0" encoding="utf-8"?>
<sst xmlns="http://schemas.openxmlformats.org/spreadsheetml/2006/main" count="1769" uniqueCount="342">
  <si>
    <t>Bus Delivery Dates</t>
  </si>
  <si>
    <t>Loc.</t>
  </si>
  <si>
    <t>Status</t>
  </si>
  <si>
    <t>Inventory ID</t>
  </si>
  <si>
    <t>Mfr</t>
  </si>
  <si>
    <t>Model</t>
  </si>
  <si>
    <t>Veh Year</t>
  </si>
  <si>
    <t>VIN #</t>
  </si>
  <si>
    <t>Depreciation Start Year</t>
  </si>
  <si>
    <t>Age of Bus</t>
  </si>
  <si>
    <t>Recommended Replacement Year</t>
  </si>
  <si>
    <t>In-Service Date</t>
  </si>
  <si>
    <t>Total # of buses</t>
  </si>
  <si>
    <t>Contract #</t>
  </si>
  <si>
    <t>PO #</t>
  </si>
  <si>
    <t xml:space="preserve">Need to reasign these </t>
  </si>
  <si>
    <t>FUNDING PLAN</t>
  </si>
  <si>
    <t>Grant Numbers/Notes</t>
  </si>
  <si>
    <t>Additional Stacked Grants</t>
  </si>
  <si>
    <t>STIP PID #</t>
  </si>
  <si>
    <t>Grant Bus Detail</t>
  </si>
  <si>
    <t>Running T</t>
  </si>
  <si>
    <t>Fed%</t>
  </si>
  <si>
    <t>Local%</t>
  </si>
  <si>
    <t>Federal $</t>
  </si>
  <si>
    <t>Local $</t>
  </si>
  <si>
    <t>Local $    Identified?</t>
  </si>
  <si>
    <t>Notes :</t>
  </si>
  <si>
    <t>Ct.</t>
  </si>
  <si>
    <t>2023 Vehicle Expansion: (2022 Order)</t>
  </si>
  <si>
    <t>1</t>
  </si>
  <si>
    <t>TESCO</t>
  </si>
  <si>
    <t>RAM PROMASTER</t>
  </si>
  <si>
    <t>3C6MRVJG7PE512699</t>
  </si>
  <si>
    <t>DIESEL</t>
  </si>
  <si>
    <t>2023 LOCAL BUDGET</t>
  </si>
  <si>
    <t>2</t>
  </si>
  <si>
    <t>3C6MRVJG2PE512691</t>
  </si>
  <si>
    <t>3</t>
  </si>
  <si>
    <t>3C6MRVJG6PE512709</t>
  </si>
  <si>
    <t>4</t>
  </si>
  <si>
    <t>3C6MRVJG5PE512698</t>
  </si>
  <si>
    <t>5</t>
  </si>
  <si>
    <t>3C6MRVJG0PE512690</t>
  </si>
  <si>
    <t>6</t>
  </si>
  <si>
    <t>3C6MRVJG8PE512694</t>
  </si>
  <si>
    <t>7</t>
  </si>
  <si>
    <t>3C6MRVJG1PE512701</t>
  </si>
  <si>
    <t>8</t>
  </si>
  <si>
    <t>3C6MRVJGXPE508484</t>
  </si>
  <si>
    <t>9</t>
  </si>
  <si>
    <t>3C6MRVJG4PE512689</t>
  </si>
  <si>
    <t>10</t>
  </si>
  <si>
    <t>3C6MRVJG2PE512710</t>
  </si>
  <si>
    <t>11</t>
  </si>
  <si>
    <t>3C6MRVJG5PE512703</t>
  </si>
  <si>
    <t>12</t>
  </si>
  <si>
    <t>3C6MRVJG5PE508473</t>
  </si>
  <si>
    <t>13</t>
  </si>
  <si>
    <t>3C6MRVJG7PE512685</t>
  </si>
  <si>
    <t>14</t>
  </si>
  <si>
    <t>3C6MRVJG0PE512687</t>
  </si>
  <si>
    <t xml:space="preserve">2023 Grand Totals:  </t>
  </si>
  <si>
    <t>2024 Vehicle Expansion: (2023 Order)</t>
  </si>
  <si>
    <t xml:space="preserve">Planned Obligation:  </t>
  </si>
  <si>
    <t xml:space="preserve">Roughly - June of 2024 (ODOT plans to flex funds following the Congressional passing of the Appropriations.  Once the flexing is complete, SORTA can begin the obligation in TrAMS.  To cover the potential of buses being delivered before the obligation is complete, as well as recording the delivery of buses  within an approved PO, SORTA has identified local funds to use upfront, that will later be reimburesed with the obligated  grant funding.)  </t>
  </si>
  <si>
    <t xml:space="preserve">Planned Delivery: </t>
  </si>
  <si>
    <t>June of 2024</t>
  </si>
  <si>
    <t>NEW - EXPANSION OF FLEET TO MEET 21 COUNT TOTAL</t>
  </si>
  <si>
    <t>2024 OTP2-FFY24 CRP SECTION 5307 FHWA</t>
  </si>
  <si>
    <t>2024 LOCAL BUDGET</t>
  </si>
  <si>
    <t xml:space="preserve">2024 Grand Totals:  </t>
  </si>
  <si>
    <t>2025 Vehicle Expansion: (2024 Order)</t>
  </si>
  <si>
    <t>Obligation Target Date:  Sept 2025</t>
  </si>
  <si>
    <t>Planned Delivery: Early Fall of 2025</t>
  </si>
  <si>
    <t>NEW - EXPANSION OF FLEET TO MEET 29 COUNT TOTAL</t>
  </si>
  <si>
    <t>2025 ODOT WORKFORCE MOBLITY GRANT</t>
  </si>
  <si>
    <t>100% LOCAL FUNDS</t>
  </si>
  <si>
    <t>2026 Vehicle Expansion: (2025 Order)</t>
  </si>
  <si>
    <t>NEW - EXPANSION OF FLEET TO MEET 39 COUNT TOTAL</t>
  </si>
  <si>
    <t>2026 ODOT WORKFORCE MOBLITY GRANT</t>
  </si>
  <si>
    <t>NEW - EXPANSION OF FLEET TO MEET 47 COUNT TOTAL</t>
  </si>
  <si>
    <t>SFY2027 OTP2 GRANT</t>
  </si>
  <si>
    <t>2027 Vehicle Expansion: (2026 Order)</t>
  </si>
  <si>
    <t>NEW - EXPANSION OF FLEET TO MEET 55 COUNT TOTAL</t>
  </si>
  <si>
    <t>Replacement Bus Schedule  2019-2021</t>
  </si>
  <si>
    <t>Grant Numbers</t>
  </si>
  <si>
    <t>Cost Estimate</t>
  </si>
  <si>
    <t>2019 Replacements: (2018 Order)</t>
  </si>
  <si>
    <t>Consortium</t>
  </si>
  <si>
    <t>GIL</t>
  </si>
  <si>
    <t>PHANTOM</t>
  </si>
  <si>
    <t>15GCD271021111410</t>
  </si>
  <si>
    <t>May</t>
  </si>
  <si>
    <t>2018 OTPPP</t>
  </si>
  <si>
    <t>OH-2018-038-01</t>
  </si>
  <si>
    <t>Y</t>
  </si>
  <si>
    <t>15GCD271221111411</t>
  </si>
  <si>
    <t>15GCD271421111412</t>
  </si>
  <si>
    <t>15GCD271X21111415</t>
  </si>
  <si>
    <t>15GCD271321111420</t>
  </si>
  <si>
    <t>15GCD271X21111429</t>
  </si>
  <si>
    <t>15GCD271921111423</t>
  </si>
  <si>
    <t>C21</t>
  </si>
  <si>
    <t>15GCD211041111435</t>
  </si>
  <si>
    <t>2018 OTPPP &amp; 2017 SECT 5339 COMP.</t>
  </si>
  <si>
    <t>15GCD271521111421</t>
  </si>
  <si>
    <t>2017-5339 COMP</t>
  </si>
  <si>
    <t>OH-2019-018-00</t>
  </si>
  <si>
    <t>15GCD271X21111432</t>
  </si>
  <si>
    <t>95697 - TIP ammend request sent 11/18</t>
  </si>
  <si>
    <t>15GCD271121111433</t>
  </si>
  <si>
    <t>15GCD211941111434</t>
  </si>
  <si>
    <t>15GCD211241111436</t>
  </si>
  <si>
    <t>15GCD211441111437</t>
  </si>
  <si>
    <t>15</t>
  </si>
  <si>
    <t>15GCD211641111438</t>
  </si>
  <si>
    <t>16</t>
  </si>
  <si>
    <t>15GCD211841111439</t>
  </si>
  <si>
    <t>2017-5339 COMP &amp; 2017 DERG</t>
  </si>
  <si>
    <t>OH-2019-018-00 &amp; X038</t>
  </si>
  <si>
    <t>17</t>
  </si>
  <si>
    <t>15GCD211441111440</t>
  </si>
  <si>
    <t>2017 DERG</t>
  </si>
  <si>
    <t>OH-2018-038</t>
  </si>
  <si>
    <t>18</t>
  </si>
  <si>
    <t>15GCD211641111441</t>
  </si>
  <si>
    <t>19</t>
  </si>
  <si>
    <t>15GCD211841111442</t>
  </si>
  <si>
    <t>2017 DERG &amp; 2019 CMAQ</t>
  </si>
  <si>
    <t>20</t>
  </si>
  <si>
    <t>15GCD211X41111443</t>
  </si>
  <si>
    <t>Ky Consort.</t>
  </si>
  <si>
    <t>2019 CMAQ</t>
  </si>
  <si>
    <t>OH-2019-020</t>
  </si>
  <si>
    <t>21</t>
  </si>
  <si>
    <t>15GCD211141111444</t>
  </si>
  <si>
    <t>22</t>
  </si>
  <si>
    <t>15GCD211341111445</t>
  </si>
  <si>
    <t>23</t>
  </si>
  <si>
    <t>15GCD211541111446</t>
  </si>
  <si>
    <t>24</t>
  </si>
  <si>
    <t>15GCD211741111447</t>
  </si>
  <si>
    <t>25</t>
  </si>
  <si>
    <t>15GCD211941111448</t>
  </si>
  <si>
    <t>26</t>
  </si>
  <si>
    <t>15GCD211041111449</t>
  </si>
  <si>
    <t>27</t>
  </si>
  <si>
    <t>15GCD211741111450</t>
  </si>
  <si>
    <t>28</t>
  </si>
  <si>
    <t>15GCD211941111451</t>
  </si>
  <si>
    <t>29</t>
  </si>
  <si>
    <t>15GCD211041111452</t>
  </si>
  <si>
    <t>30</t>
  </si>
  <si>
    <t>15GCD211241111453</t>
  </si>
  <si>
    <t>31</t>
  </si>
  <si>
    <t>15GCD211441111454</t>
  </si>
  <si>
    <t>1-30'</t>
  </si>
  <si>
    <t>2019 CMAQ &amp; 2019 OTPPP</t>
  </si>
  <si>
    <t>32</t>
  </si>
  <si>
    <t>15GCD211641111455</t>
  </si>
  <si>
    <t>2019 OTPPP</t>
  </si>
  <si>
    <t>MOVED UP FROM 6004 ON 6/25 REV.</t>
  </si>
  <si>
    <t>33</t>
  </si>
  <si>
    <t>15GCD211841111456</t>
  </si>
  <si>
    <t>2019 OTPPP + 2019 SECTION 5339 FORMULA</t>
  </si>
  <si>
    <t>MOVED UP FROM 6005 ON 6/25 REV.</t>
  </si>
  <si>
    <t>34</t>
  </si>
  <si>
    <t>G21</t>
  </si>
  <si>
    <t>15GGD211061076786</t>
  </si>
  <si>
    <t>2019 Section 5339 Formula + 2018 5339 FORMULA</t>
  </si>
  <si>
    <t>MOVED UP FROM 6006 ON 6/25 REV.</t>
  </si>
  <si>
    <t>35</t>
  </si>
  <si>
    <t>15GGD211X61076763</t>
  </si>
  <si>
    <t>2018 Section 5339 Formula</t>
  </si>
  <si>
    <t>MOVED DOWN FROM 4021 ON 6/25 REV.</t>
  </si>
  <si>
    <t>30 foot bus replacement</t>
  </si>
  <si>
    <t>36</t>
  </si>
  <si>
    <t>15GGD211161076764</t>
  </si>
  <si>
    <t>MOVED DOWN FROM 4022 ON 6/25 REV.</t>
  </si>
  <si>
    <t>37</t>
  </si>
  <si>
    <t>15GGD211361076765</t>
  </si>
  <si>
    <t>MOVED DOWN FROM 6023 ON 6/25 REV.</t>
  </si>
  <si>
    <t>38</t>
  </si>
  <si>
    <t>15GGD211761076767</t>
  </si>
  <si>
    <t>MOVED DOWN FROM 6000 ON 6/25 REV.</t>
  </si>
  <si>
    <t>39</t>
  </si>
  <si>
    <t>15GGD211961076768</t>
  </si>
  <si>
    <t>MOVED DOWN FROM 6001 ON 6/25 REV.</t>
  </si>
  <si>
    <t>40</t>
  </si>
  <si>
    <t>15GGD211061076769</t>
  </si>
  <si>
    <t>MOVED DOWN FROM 6002 ON 6/25 REV.</t>
  </si>
  <si>
    <t>Total</t>
  </si>
  <si>
    <t>2020 Replacements: (2019 Order)</t>
  </si>
  <si>
    <t>15GGD211761076770</t>
  </si>
  <si>
    <t>2020 CMAQ - OKI</t>
  </si>
  <si>
    <t>15GGD211961076771</t>
  </si>
  <si>
    <t>15GGD211061076772</t>
  </si>
  <si>
    <t>15GGD211261076773</t>
  </si>
  <si>
    <t>15GGD211461076774</t>
  </si>
  <si>
    <t>15GGD211661076775</t>
  </si>
  <si>
    <t>15GGD211861076776</t>
  </si>
  <si>
    <t>15GGD211X61076777</t>
  </si>
  <si>
    <t>15GGD211161076778</t>
  </si>
  <si>
    <t>15GGD211361076779</t>
  </si>
  <si>
    <t>15GGD211X61076780</t>
  </si>
  <si>
    <t>15GGD211161076781</t>
  </si>
  <si>
    <t>2020 CMAQ - OKI &amp; 2020 STP</t>
  </si>
  <si>
    <t>15GGD211361076782</t>
  </si>
  <si>
    <t>2020 STP</t>
  </si>
  <si>
    <t>Moved up from 6031</t>
  </si>
  <si>
    <t>15GGD211561076783</t>
  </si>
  <si>
    <t>15GGD211761076784</t>
  </si>
  <si>
    <t>15GGD211261076787</t>
  </si>
  <si>
    <t>15GGD211461076788</t>
  </si>
  <si>
    <t>15GGD211661076789</t>
  </si>
  <si>
    <t>15GGD211261076790</t>
  </si>
  <si>
    <t>Totals</t>
  </si>
  <si>
    <t>2021 Replacements: (2020 Order)</t>
  </si>
  <si>
    <t>15GGD211461076791</t>
  </si>
  <si>
    <t>2021 CMAQ - OKI</t>
  </si>
  <si>
    <t>Original: 8000, 6018-6028 (all 2006 models)</t>
  </si>
  <si>
    <t>15GGD211661076792</t>
  </si>
  <si>
    <t>15GGD211861076793</t>
  </si>
  <si>
    <t>15GGD211X61076794</t>
  </si>
  <si>
    <t>15GGD21161076795</t>
  </si>
  <si>
    <t>15GGD211361076796</t>
  </si>
  <si>
    <t>15GGD211561076797</t>
  </si>
  <si>
    <t>15GGD211761076798</t>
  </si>
  <si>
    <t>15GGD211761076799</t>
  </si>
  <si>
    <t>15GGD211161076800</t>
  </si>
  <si>
    <t>15GGD211161076801</t>
  </si>
  <si>
    <t>2021 CMAQ - $82,222.70</t>
  </si>
  <si>
    <t>2019 5339 Formula Funds</t>
  </si>
  <si>
    <t>15GGD211561076802</t>
  </si>
  <si>
    <t>2019 5339 Formula Funds + 2020 STP</t>
  </si>
  <si>
    <t>15GGD211981079978</t>
  </si>
  <si>
    <t>NEW FLYER</t>
  </si>
  <si>
    <t>D40LF</t>
  </si>
  <si>
    <t>5FYD4FS158C034685</t>
  </si>
  <si>
    <t xml:space="preserve">2020 STP </t>
  </si>
  <si>
    <t>5FYD4FS178C034686</t>
  </si>
  <si>
    <t>5FYD4FS198C034687</t>
  </si>
  <si>
    <t>5FYD4FS108C034688</t>
  </si>
  <si>
    <t>5FYD4FS128C034689</t>
  </si>
  <si>
    <t>5FYD4FS108C034691</t>
  </si>
  <si>
    <t>5FYD4FS128C034692</t>
  </si>
  <si>
    <t>5FYD4FS148C034693</t>
  </si>
  <si>
    <t>5FYD4FS168C034694</t>
  </si>
  <si>
    <t>5FYD4FS188C034695</t>
  </si>
  <si>
    <t>5FYD4FS1X8C034696</t>
  </si>
  <si>
    <t>5FYD4FS118C034697</t>
  </si>
  <si>
    <t>2019 DERG</t>
  </si>
  <si>
    <t>5FYD4FS138C034698</t>
  </si>
  <si>
    <t>5FYD4FS158C034699</t>
  </si>
  <si>
    <t>5FYD4FS188C034700</t>
  </si>
  <si>
    <t>5FYD4FS1X8C034701</t>
  </si>
  <si>
    <t>5FYD4FS158C034704</t>
  </si>
  <si>
    <t>Replacement Bus Schedule  2019-2022</t>
  </si>
  <si>
    <t>2020 Replacements: (2018 Order)</t>
  </si>
  <si>
    <t>41</t>
  </si>
  <si>
    <t>42</t>
  </si>
  <si>
    <t>43</t>
  </si>
  <si>
    <t>44</t>
  </si>
  <si>
    <t>15GCD271X21111416</t>
  </si>
  <si>
    <t>45</t>
  </si>
  <si>
    <t>46</t>
  </si>
  <si>
    <t>15GCD271X21111430</t>
  </si>
  <si>
    <t>47</t>
  </si>
  <si>
    <t>48</t>
  </si>
  <si>
    <t>C22</t>
  </si>
  <si>
    <t>49</t>
  </si>
  <si>
    <t>50</t>
  </si>
  <si>
    <t>15GCD271X21111433</t>
  </si>
  <si>
    <t>95697 - TIP ammend request sent 11/19</t>
  </si>
  <si>
    <t>51</t>
  </si>
  <si>
    <t>52</t>
  </si>
  <si>
    <t>53</t>
  </si>
  <si>
    <t>54</t>
  </si>
  <si>
    <t>55</t>
  </si>
  <si>
    <t>56</t>
  </si>
  <si>
    <t>OH-2019-018-00 &amp; X039</t>
  </si>
  <si>
    <t>57</t>
  </si>
  <si>
    <t>58</t>
  </si>
  <si>
    <t>59</t>
  </si>
  <si>
    <t>2018 DERG &amp; 2019 CMAQ</t>
  </si>
  <si>
    <t>60</t>
  </si>
  <si>
    <t>15GCD211X41111444</t>
  </si>
  <si>
    <t>61</t>
  </si>
  <si>
    <t>62</t>
  </si>
  <si>
    <t>63</t>
  </si>
  <si>
    <t>64</t>
  </si>
  <si>
    <t>65</t>
  </si>
  <si>
    <t>66</t>
  </si>
  <si>
    <t>67</t>
  </si>
  <si>
    <t>68</t>
  </si>
  <si>
    <t>69</t>
  </si>
  <si>
    <t>70</t>
  </si>
  <si>
    <t>71</t>
  </si>
  <si>
    <t>2020 CMAQ &amp; 2019 OTPPP</t>
  </si>
  <si>
    <t>72</t>
  </si>
  <si>
    <t>2020 OTPPP</t>
  </si>
  <si>
    <t>73</t>
  </si>
  <si>
    <t>2020 OTPPP + 2019 SECTION 5339 FORMULA</t>
  </si>
  <si>
    <t>74</t>
  </si>
  <si>
    <t>2020 Section 5339 Formula + 2018 5339 FORMULA</t>
  </si>
  <si>
    <t>75</t>
  </si>
  <si>
    <t>15GGD211X61076764</t>
  </si>
  <si>
    <t>76</t>
  </si>
  <si>
    <t>77</t>
  </si>
  <si>
    <t>78</t>
  </si>
  <si>
    <t>79</t>
  </si>
  <si>
    <t>80</t>
  </si>
  <si>
    <t>2021 Replacements: (2019 Order)</t>
  </si>
  <si>
    <t>15GGD211X61076778</t>
  </si>
  <si>
    <t>15GGD211X61076781</t>
  </si>
  <si>
    <t>2021 CMAQ - OKI &amp; 2020 STP</t>
  </si>
  <si>
    <t>Moved up from 6032</t>
  </si>
  <si>
    <t>2022 Replacements: (2020 Order)</t>
  </si>
  <si>
    <t>15GGD211X61076795</t>
  </si>
  <si>
    <t>2022 CMAQ - $82,222.70</t>
  </si>
  <si>
    <t>2020 5339 Formula Funds</t>
  </si>
  <si>
    <t>2020 5339 Formula Funds + 2020 STP</t>
  </si>
  <si>
    <t>5FYD4FS158C034686</t>
  </si>
  <si>
    <t>5FYD4FS178C034687</t>
  </si>
  <si>
    <t>5FYD4FS198C034688</t>
  </si>
  <si>
    <t>5FYD4FS108C034689</t>
  </si>
  <si>
    <t>5FYD4FS128C034690</t>
  </si>
  <si>
    <t>5FYD4FS108C034692</t>
  </si>
  <si>
    <t>5FYD4FS128C034693</t>
  </si>
  <si>
    <t>5FYD4FS148C034694</t>
  </si>
  <si>
    <t>5FYD4FS168C034695</t>
  </si>
  <si>
    <t>5FYD4FS188C034696</t>
  </si>
  <si>
    <t>5FYD4FS1X8C034697</t>
  </si>
  <si>
    <t>5FYD4FS118C034698</t>
  </si>
  <si>
    <t>5FYD4FS138C034699</t>
  </si>
  <si>
    <t>5FYD4FS158C034700</t>
  </si>
  <si>
    <t>5FYD4FS188C034701</t>
  </si>
  <si>
    <t>5FYD4FS1X8C034702</t>
  </si>
  <si>
    <t>5FYD4FS158C034705</t>
  </si>
  <si>
    <t>2024 Replacements: (2023 Order)</t>
  </si>
  <si>
    <t>SORTA'S MOD Replacement Schedule - 2024-2027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</si>
</sst>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
    <numFmt numFmtId="165" formatCode="&quot;$&quot;#,##0.00"/>
    <numFmt numFmtId="166" formatCode="[$-409]mmm\-yy;@"/>
    <numFmt numFmtId="168" formatCode="_(* #,##0_);_(* \(#,##0\);_(* &quot;-&quot;??_);_(@_)"/>
  </numFmts>
  <fonts count="24"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8.5"/>
      <name val="MS Sans Serif"/>
      <family val="2"/>
    </font>
    <font>
      <b/>
      <sz val="16"/>
      <name val="Arial"/>
      <family val="2"/>
    </font>
    <font>
      <sz val="10"/>
      <name val="Arial"/>
      <family val="2"/>
    </font>
    <font>
      <b/>
      <sz val="22"/>
      <name val="Arial"/>
      <family val="2"/>
    </font>
    <font>
      <b/>
      <sz val="14"/>
      <name val="Arial"/>
      <family val="2"/>
    </font>
    <font>
      <b/>
      <sz val="8"/>
      <color indexed="81"/>
      <name val="Tahoma"/>
      <family val="2"/>
    </font>
    <font>
      <sz val="8"/>
      <color indexed="81"/>
      <name val="Tahoma"/>
      <family val="2"/>
    </font>
    <font>
      <sz val="9"/>
      <color indexed="81"/>
      <name val="Tahoma"/>
      <family val="2"/>
    </font>
    <font>
      <b/>
      <sz val="9"/>
      <color indexed="81"/>
      <name val="Tahoma"/>
      <family val="2"/>
    </font>
    <font>
      <sz val="10"/>
      <name val="Arial"/>
      <family val="2"/>
    </font>
    <font>
      <sz val="9"/>
      <name val="Arial"/>
      <family val="2"/>
    </font>
    <font>
      <b/>
      <sz val="18"/>
      <name val="Arial"/>
      <family val="2"/>
    </font>
    <font>
      <sz val="8"/>
      <name val="Arial"/>
      <family val="2"/>
    </font>
    <font>
      <sz val="11"/>
      <color theme="1"/>
      <name val="Calibri"/>
      <family val="2"/>
      <scheme val="minor"/>
    </font>
    <font>
      <sz val="10"/>
      <color rgb="FFFF0000"/>
      <name val="Arial"/>
      <family val="2"/>
    </font>
    <font>
      <b/>
      <sz val="10"/>
      <color rgb="FFFF0000"/>
      <name val="Arial"/>
      <family val="2"/>
    </font>
    <font>
      <sz val="9"/>
      <color rgb="FFFF0000"/>
      <name val="Arial"/>
      <family val="2"/>
    </font>
    <font>
      <b/>
      <sz val="12"/>
      <color rgb="FFFF0000"/>
      <name val="Arial"/>
      <family val="2"/>
    </font>
  </fonts>
  <fills count="1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9FF33"/>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2"/>
        <bgColor indexed="64"/>
      </patternFill>
    </fill>
    <fill>
      <patternFill patternType="solid">
        <fgColor rgb="FFFFFF00"/>
        <bgColor indexed="64"/>
      </patternFill>
    </fill>
    <fill>
      <patternFill patternType="solid">
        <fgColor rgb="FFFF5050"/>
        <bgColor indexed="64"/>
      </patternFill>
    </fill>
    <fill>
      <patternFill patternType="solid">
        <fgColor theme="6" tint="0.59999389629810485"/>
        <bgColor indexed="64"/>
      </patternFill>
    </fill>
    <fill>
      <patternFill patternType="solid">
        <fgColor theme="4" tint="0.79998168889431442"/>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s>
  <cellStyleXfs count="11">
    <xf numFmtId="0" fontId="0" fillId="0" borderId="0"/>
    <xf numFmtId="43" fontId="3"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4" fontId="15"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0" borderId="0"/>
    <xf numFmtId="0" fontId="8" fillId="0" borderId="0"/>
    <xf numFmtId="0" fontId="19" fillId="0" borderId="0"/>
  </cellStyleXfs>
  <cellXfs count="184">
    <xf numFmtId="0" fontId="0" fillId="0" borderId="0" xfId="0"/>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xf numFmtId="0" fontId="0" fillId="0" borderId="3" xfId="0" applyBorder="1" applyAlignment="1">
      <alignment horizontal="center"/>
    </xf>
    <xf numFmtId="0" fontId="0" fillId="0" borderId="3" xfId="0" applyBorder="1" applyAlignment="1">
      <alignment horizontal="center" wrapText="1"/>
    </xf>
    <xf numFmtId="0" fontId="0" fillId="0" borderId="0" xfId="0" applyAlignment="1">
      <alignment horizontal="center"/>
    </xf>
    <xf numFmtId="1" fontId="0" fillId="0" borderId="0" xfId="0" applyNumberFormat="1" applyAlignment="1">
      <alignment horizontal="center"/>
    </xf>
    <xf numFmtId="17" fontId="0" fillId="0" borderId="4" xfId="0" applyNumberFormat="1" applyBorder="1" applyAlignment="1">
      <alignment horizontal="center"/>
    </xf>
    <xf numFmtId="17" fontId="0" fillId="0" borderId="0" xfId="0" applyNumberFormat="1" applyAlignment="1">
      <alignment horizontal="center"/>
    </xf>
    <xf numFmtId="164" fontId="4" fillId="0" borderId="0" xfId="0" applyNumberFormat="1" applyFont="1"/>
    <xf numFmtId="0" fontId="4" fillId="2" borderId="4" xfId="0" applyFont="1" applyFill="1" applyBorder="1"/>
    <xf numFmtId="0" fontId="0" fillId="2" borderId="6" xfId="0" applyFill="1" applyBorder="1"/>
    <xf numFmtId="1" fontId="0" fillId="0" borderId="3" xfId="0" applyNumberFormat="1" applyBorder="1" applyAlignment="1">
      <alignment horizontal="center"/>
    </xf>
    <xf numFmtId="1" fontId="5" fillId="0" borderId="4" xfId="0" applyNumberFormat="1" applyFont="1" applyBorder="1" applyAlignment="1">
      <alignment horizontal="center"/>
    </xf>
    <xf numFmtId="1" fontId="6" fillId="0" borderId="1" xfId="0" applyNumberFormat="1" applyFont="1" applyBorder="1" applyAlignment="1">
      <alignment horizontal="center" wrapText="1"/>
    </xf>
    <xf numFmtId="1" fontId="0" fillId="2" borderId="4" xfId="0" applyNumberFormat="1" applyFill="1" applyBorder="1" applyAlignment="1">
      <alignment horizontal="center"/>
    </xf>
    <xf numFmtId="0" fontId="0" fillId="2" borderId="9" xfId="0" applyFill="1" applyBorder="1"/>
    <xf numFmtId="0" fontId="0" fillId="2" borderId="10" xfId="0" applyFill="1" applyBorder="1" applyAlignment="1">
      <alignment horizontal="center" wrapText="1"/>
    </xf>
    <xf numFmtId="0" fontId="0" fillId="2" borderId="11" xfId="0" applyFill="1" applyBorder="1" applyAlignment="1">
      <alignment horizontal="center" wrapText="1"/>
    </xf>
    <xf numFmtId="1" fontId="6" fillId="2" borderId="10" xfId="0" applyNumberFormat="1" applyFont="1" applyFill="1" applyBorder="1" applyAlignment="1">
      <alignment horizontal="center" wrapText="1"/>
    </xf>
    <xf numFmtId="0" fontId="20" fillId="0" borderId="3" xfId="0" applyFont="1" applyBorder="1" applyAlignment="1">
      <alignment horizontal="center"/>
    </xf>
    <xf numFmtId="0" fontId="20" fillId="0" borderId="3" xfId="0" applyFont="1" applyBorder="1"/>
    <xf numFmtId="1" fontId="0" fillId="3" borderId="4" xfId="0" applyNumberFormat="1" applyFill="1" applyBorder="1" applyAlignment="1">
      <alignment horizontal="center"/>
    </xf>
    <xf numFmtId="166" fontId="0" fillId="0" borderId="4" xfId="0" applyNumberFormat="1" applyBorder="1" applyAlignment="1">
      <alignment horizontal="center"/>
    </xf>
    <xf numFmtId="0" fontId="0" fillId="3" borderId="9" xfId="0" applyFill="1" applyBorder="1"/>
    <xf numFmtId="0" fontId="4" fillId="3" borderId="4" xfId="0" applyFont="1" applyFill="1" applyBorder="1"/>
    <xf numFmtId="0" fontId="0" fillId="3" borderId="6" xfId="0" applyFill="1" applyBorder="1"/>
    <xf numFmtId="49" fontId="5" fillId="0" borderId="10" xfId="0" quotePrefix="1" applyNumberFormat="1" applyFont="1" applyBorder="1" applyAlignment="1">
      <alignment horizontal="left"/>
    </xf>
    <xf numFmtId="0" fontId="0" fillId="3" borderId="3" xfId="0" applyFill="1" applyBorder="1" applyAlignment="1">
      <alignment horizontal="center"/>
    </xf>
    <xf numFmtId="0" fontId="0" fillId="4" borderId="3" xfId="0" applyFill="1" applyBorder="1" applyAlignment="1">
      <alignment horizontal="center"/>
    </xf>
    <xf numFmtId="1" fontId="0" fillId="3" borderId="0" xfId="0" applyNumberFormat="1" applyFill="1" applyAlignment="1">
      <alignment horizontal="center"/>
    </xf>
    <xf numFmtId="0" fontId="0" fillId="0" borderId="10" xfId="0" applyBorder="1" applyAlignment="1">
      <alignment horizontal="center"/>
    </xf>
    <xf numFmtId="0" fontId="0" fillId="0" borderId="10" xfId="0" applyBorder="1"/>
    <xf numFmtId="166" fontId="0" fillId="0" borderId="13" xfId="0" applyNumberFormat="1" applyBorder="1" applyAlignment="1">
      <alignment horizontal="center"/>
    </xf>
    <xf numFmtId="166" fontId="0" fillId="0" borderId="8" xfId="0" applyNumberFormat="1" applyBorder="1" applyAlignment="1">
      <alignment horizontal="center"/>
    </xf>
    <xf numFmtId="0" fontId="0" fillId="3" borderId="0" xfId="0" applyFill="1"/>
    <xf numFmtId="17" fontId="10" fillId="0" borderId="14" xfId="0" applyNumberFormat="1" applyFont="1" applyBorder="1"/>
    <xf numFmtId="0" fontId="0" fillId="0" borderId="3" xfId="0" quotePrefix="1" applyBorder="1" applyAlignment="1">
      <alignment horizontal="center"/>
    </xf>
    <xf numFmtId="1" fontId="20" fillId="3" borderId="4" xfId="0" applyNumberFormat="1" applyFont="1" applyFill="1" applyBorder="1" applyAlignment="1">
      <alignment horizontal="center"/>
    </xf>
    <xf numFmtId="1" fontId="20" fillId="2" borderId="4" xfId="0" applyNumberFormat="1" applyFont="1" applyFill="1" applyBorder="1" applyAlignment="1">
      <alignment horizontal="center"/>
    </xf>
    <xf numFmtId="1" fontId="5" fillId="0" borderId="8" xfId="0" applyNumberFormat="1" applyFont="1" applyBorder="1" applyAlignment="1">
      <alignment horizontal="center" wrapText="1"/>
    </xf>
    <xf numFmtId="1" fontId="7" fillId="0" borderId="5" xfId="0" applyNumberFormat="1" applyFont="1" applyBorder="1" applyAlignment="1">
      <alignment horizontal="center"/>
    </xf>
    <xf numFmtId="0" fontId="5" fillId="0" borderId="0" xfId="0" applyFont="1" applyAlignment="1">
      <alignment horizontal="center"/>
    </xf>
    <xf numFmtId="1" fontId="21" fillId="2" borderId="8" xfId="0" applyNumberFormat="1" applyFont="1" applyFill="1" applyBorder="1" applyAlignment="1">
      <alignment horizontal="center" wrapText="1"/>
    </xf>
    <xf numFmtId="1" fontId="20" fillId="0" borderId="4" xfId="0" applyNumberFormat="1" applyFont="1" applyBorder="1" applyAlignment="1">
      <alignment horizontal="center"/>
    </xf>
    <xf numFmtId="164" fontId="0" fillId="2" borderId="4" xfId="0" applyNumberFormat="1" applyFill="1" applyBorder="1" applyAlignment="1">
      <alignment horizontal="center"/>
    </xf>
    <xf numFmtId="9" fontId="0" fillId="2" borderId="4" xfId="0" applyNumberFormat="1" applyFill="1" applyBorder="1" applyAlignment="1">
      <alignment horizontal="center"/>
    </xf>
    <xf numFmtId="17" fontId="10" fillId="0" borderId="5" xfId="0" applyNumberFormat="1" applyFont="1" applyBorder="1" applyAlignment="1">
      <alignment horizontal="center"/>
    </xf>
    <xf numFmtId="1" fontId="0" fillId="9" borderId="4" xfId="0" applyNumberFormat="1" applyFill="1" applyBorder="1" applyAlignment="1">
      <alignment horizontal="center"/>
    </xf>
    <xf numFmtId="1" fontId="0" fillId="9" borderId="3" xfId="0" applyNumberFormat="1" applyFill="1" applyBorder="1" applyAlignment="1">
      <alignment horizontal="center"/>
    </xf>
    <xf numFmtId="17" fontId="10" fillId="0" borderId="15" xfId="0" applyNumberFormat="1" applyFont="1" applyBorder="1"/>
    <xf numFmtId="166" fontId="20" fillId="0" borderId="4" xfId="0" applyNumberFormat="1" applyFont="1" applyBorder="1" applyAlignment="1">
      <alignment horizontal="center"/>
    </xf>
    <xf numFmtId="0" fontId="21" fillId="0" borderId="3" xfId="0" applyFont="1" applyBorder="1" applyAlignment="1">
      <alignment horizontal="left"/>
    </xf>
    <xf numFmtId="1" fontId="0" fillId="3" borderId="3" xfId="0" applyNumberFormat="1" applyFill="1" applyBorder="1" applyAlignment="1">
      <alignment horizontal="center"/>
    </xf>
    <xf numFmtId="49" fontId="21" fillId="0" borderId="3" xfId="0" applyNumberFormat="1" applyFont="1" applyBorder="1" applyAlignment="1">
      <alignment horizontal="left"/>
    </xf>
    <xf numFmtId="0" fontId="20" fillId="0" borderId="3" xfId="0" applyFont="1" applyBorder="1" applyAlignment="1">
      <alignment horizontal="center" wrapText="1"/>
    </xf>
    <xf numFmtId="1" fontId="20" fillId="0" borderId="3" xfId="0" applyNumberFormat="1" applyFont="1" applyBorder="1" applyAlignment="1">
      <alignment horizontal="center"/>
    </xf>
    <xf numFmtId="1" fontId="0" fillId="10" borderId="4" xfId="0" applyNumberFormat="1" applyFill="1" applyBorder="1" applyAlignment="1">
      <alignment horizontal="center"/>
    </xf>
    <xf numFmtId="0" fontId="20" fillId="0" borderId="0" xfId="0" applyFont="1"/>
    <xf numFmtId="1" fontId="0" fillId="5" borderId="3" xfId="0" applyNumberFormat="1" applyFill="1" applyBorder="1" applyAlignment="1">
      <alignment horizontal="center"/>
    </xf>
    <xf numFmtId="1" fontId="20" fillId="0" borderId="6" xfId="0" applyNumberFormat="1" applyFont="1" applyBorder="1" applyAlignment="1">
      <alignment horizontal="center"/>
    </xf>
    <xf numFmtId="0" fontId="20" fillId="0" borderId="4" xfId="0" applyFont="1" applyBorder="1" applyAlignment="1">
      <alignment horizontal="center" wrapText="1"/>
    </xf>
    <xf numFmtId="0" fontId="20" fillId="0" borderId="16" xfId="0" applyFont="1" applyBorder="1" applyAlignment="1">
      <alignment horizontal="center"/>
    </xf>
    <xf numFmtId="49" fontId="21" fillId="0" borderId="17" xfId="0" quotePrefix="1" applyNumberFormat="1" applyFont="1" applyBorder="1" applyAlignment="1">
      <alignment horizontal="left"/>
    </xf>
    <xf numFmtId="49" fontId="21" fillId="0" borderId="3" xfId="0" quotePrefix="1" applyNumberFormat="1" applyFont="1" applyBorder="1" applyAlignment="1">
      <alignment horizontal="left"/>
    </xf>
    <xf numFmtId="166" fontId="0" fillId="0" borderId="3" xfId="0" applyNumberFormat="1" applyBorder="1" applyAlignment="1">
      <alignment horizontal="center"/>
    </xf>
    <xf numFmtId="1" fontId="5" fillId="0" borderId="14" xfId="0" applyNumberFormat="1" applyFont="1" applyBorder="1" applyAlignment="1">
      <alignment horizontal="center"/>
    </xf>
    <xf numFmtId="17" fontId="5" fillId="0" borderId="17" xfId="0" applyNumberFormat="1" applyFont="1" applyBorder="1" applyAlignment="1">
      <alignment horizontal="center"/>
    </xf>
    <xf numFmtId="1" fontId="0" fillId="0" borderId="18" xfId="0" applyNumberFormat="1" applyBorder="1" applyAlignment="1">
      <alignment horizontal="center"/>
    </xf>
    <xf numFmtId="1" fontId="5" fillId="0" borderId="3" xfId="0" applyNumberFormat="1" applyFont="1" applyBorder="1" applyAlignment="1">
      <alignment horizontal="center"/>
    </xf>
    <xf numFmtId="1" fontId="20" fillId="0" borderId="3" xfId="0" applyNumberFormat="1" applyFont="1" applyBorder="1" applyAlignment="1">
      <alignment horizontal="left"/>
    </xf>
    <xf numFmtId="1" fontId="20" fillId="0" borderId="0" xfId="0" applyNumberFormat="1" applyFont="1" applyAlignment="1">
      <alignment horizontal="center"/>
    </xf>
    <xf numFmtId="1" fontId="5" fillId="2" borderId="4" xfId="0" applyNumberFormat="1" applyFont="1" applyFill="1" applyBorder="1" applyAlignment="1">
      <alignment horizontal="right"/>
    </xf>
    <xf numFmtId="0" fontId="5" fillId="2" borderId="6" xfId="0" applyFont="1" applyFill="1" applyBorder="1" applyAlignment="1">
      <alignment horizontal="right"/>
    </xf>
    <xf numFmtId="164" fontId="0" fillId="2" borderId="6" xfId="0" applyNumberFormat="1" applyFill="1" applyBorder="1"/>
    <xf numFmtId="0" fontId="0" fillId="5" borderId="3" xfId="0" applyFill="1" applyBorder="1" applyAlignment="1">
      <alignment horizontal="center"/>
    </xf>
    <xf numFmtId="0" fontId="0" fillId="5" borderId="3" xfId="0" applyFill="1" applyBorder="1" applyAlignment="1">
      <alignment horizontal="center" wrapText="1"/>
    </xf>
    <xf numFmtId="0" fontId="0" fillId="5" borderId="3" xfId="0" applyFill="1" applyBorder="1"/>
    <xf numFmtId="166" fontId="0" fillId="5" borderId="4" xfId="0" applyNumberFormat="1" applyFill="1" applyBorder="1" applyAlignment="1">
      <alignment horizontal="center"/>
    </xf>
    <xf numFmtId="1" fontId="0" fillId="5" borderId="4" xfId="0" applyNumberFormat="1" applyFill="1" applyBorder="1" applyAlignment="1">
      <alignment horizontal="center"/>
    </xf>
    <xf numFmtId="1" fontId="5" fillId="3" borderId="4" xfId="0" applyNumberFormat="1" applyFont="1" applyFill="1" applyBorder="1" applyAlignment="1">
      <alignment horizontal="center"/>
    </xf>
    <xf numFmtId="1" fontId="0" fillId="2" borderId="6" xfId="0" applyNumberFormat="1" applyFill="1" applyBorder="1" applyAlignment="1">
      <alignment horizontal="center"/>
    </xf>
    <xf numFmtId="49" fontId="5" fillId="0" borderId="3" xfId="0" applyNumberFormat="1" applyFont="1" applyBorder="1" applyAlignment="1">
      <alignment horizontal="left"/>
    </xf>
    <xf numFmtId="164" fontId="5" fillId="2" borderId="6" xfId="0" applyNumberFormat="1" applyFont="1" applyFill="1" applyBorder="1"/>
    <xf numFmtId="1" fontId="22" fillId="0" borderId="4" xfId="0" applyNumberFormat="1" applyFont="1" applyBorder="1" applyAlignment="1">
      <alignment horizontal="center"/>
    </xf>
    <xf numFmtId="1" fontId="16" fillId="0" borderId="4" xfId="0" applyNumberFormat="1" applyFont="1" applyBorder="1" applyAlignment="1">
      <alignment horizontal="center"/>
    </xf>
    <xf numFmtId="0" fontId="17" fillId="0" borderId="0" xfId="0" applyFont="1"/>
    <xf numFmtId="0" fontId="0" fillId="13" borderId="1" xfId="0" applyFill="1" applyBorder="1" applyAlignment="1">
      <alignment horizontal="center" wrapText="1"/>
    </xf>
    <xf numFmtId="0" fontId="0" fillId="13" borderId="2" xfId="0" applyFill="1" applyBorder="1" applyAlignment="1">
      <alignment horizontal="center" wrapText="1"/>
    </xf>
    <xf numFmtId="1" fontId="6" fillId="13" borderId="1" xfId="0" applyNumberFormat="1" applyFont="1" applyFill="1" applyBorder="1" applyAlignment="1">
      <alignment horizontal="center" wrapText="1"/>
    </xf>
    <xf numFmtId="1" fontId="5" fillId="13" borderId="8" xfId="0" applyNumberFormat="1" applyFont="1" applyFill="1" applyBorder="1" applyAlignment="1">
      <alignment horizontal="center" wrapText="1"/>
    </xf>
    <xf numFmtId="164" fontId="5" fillId="0" borderId="0" xfId="0" applyNumberFormat="1" applyFont="1"/>
    <xf numFmtId="14" fontId="0" fillId="0" borderId="0" xfId="0" applyNumberFormat="1"/>
    <xf numFmtId="49" fontId="21" fillId="0" borderId="3" xfId="0" applyNumberFormat="1" applyFont="1" applyBorder="1" applyAlignment="1">
      <alignment horizontal="center"/>
    </xf>
    <xf numFmtId="0" fontId="0" fillId="3" borderId="3" xfId="0" applyFill="1" applyBorder="1"/>
    <xf numFmtId="0" fontId="0" fillId="5" borderId="4" xfId="0" applyFill="1" applyBorder="1" applyAlignment="1">
      <alignment horizontal="center" wrapText="1"/>
    </xf>
    <xf numFmtId="0" fontId="0" fillId="5" borderId="16" xfId="0" applyFill="1" applyBorder="1" applyAlignment="1">
      <alignment horizontal="center"/>
    </xf>
    <xf numFmtId="0" fontId="0" fillId="5" borderId="6" xfId="0" applyFill="1" applyBorder="1" applyAlignment="1">
      <alignment horizontal="center"/>
    </xf>
    <xf numFmtId="0" fontId="0" fillId="3" borderId="3" xfId="0" applyFill="1" applyBorder="1" applyAlignment="1">
      <alignment horizontal="center" wrapText="1"/>
    </xf>
    <xf numFmtId="166" fontId="0" fillId="3" borderId="4" xfId="0" applyNumberFormat="1" applyFill="1" applyBorder="1" applyAlignment="1">
      <alignment horizontal="center"/>
    </xf>
    <xf numFmtId="0" fontId="0" fillId="0" borderId="0" xfId="0" applyAlignment="1">
      <alignment horizontal="left"/>
    </xf>
    <xf numFmtId="166" fontId="0" fillId="3" borderId="13" xfId="0" applyNumberFormat="1" applyFill="1" applyBorder="1" applyAlignment="1">
      <alignment horizontal="center"/>
    </xf>
    <xf numFmtId="49" fontId="21" fillId="3" borderId="3" xfId="0" applyNumberFormat="1" applyFont="1" applyFill="1" applyBorder="1" applyAlignment="1">
      <alignment horizontal="center"/>
    </xf>
    <xf numFmtId="0" fontId="20" fillId="3" borderId="3" xfId="0" applyFont="1" applyFill="1" applyBorder="1" applyAlignment="1">
      <alignment horizontal="center"/>
    </xf>
    <xf numFmtId="0" fontId="20" fillId="3" borderId="3" xfId="0" applyFont="1" applyFill="1" applyBorder="1" applyAlignment="1">
      <alignment horizontal="center" wrapText="1"/>
    </xf>
    <xf numFmtId="0" fontId="0" fillId="3" borderId="10" xfId="0" applyFill="1" applyBorder="1" applyAlignment="1">
      <alignment horizontal="center"/>
    </xf>
    <xf numFmtId="0" fontId="0" fillId="3" borderId="10" xfId="0" applyFill="1" applyBorder="1"/>
    <xf numFmtId="166" fontId="0" fillId="3" borderId="8" xfId="0" applyNumberFormat="1" applyFill="1" applyBorder="1" applyAlignment="1">
      <alignment horizontal="center"/>
    </xf>
    <xf numFmtId="0" fontId="5" fillId="5" borderId="6" xfId="0" applyFont="1" applyFill="1" applyBorder="1" applyAlignment="1">
      <alignment horizontal="center"/>
    </xf>
    <xf numFmtId="0" fontId="0" fillId="3" borderId="16" xfId="0" applyFill="1" applyBorder="1" applyAlignment="1">
      <alignment horizontal="center"/>
    </xf>
    <xf numFmtId="0" fontId="0" fillId="3" borderId="4" xfId="0" applyFill="1" applyBorder="1" applyAlignment="1">
      <alignment horizontal="center" wrapText="1"/>
    </xf>
    <xf numFmtId="0" fontId="23" fillId="3" borderId="12" xfId="0" applyFont="1" applyFill="1" applyBorder="1" applyAlignment="1">
      <alignment horizontal="center"/>
    </xf>
    <xf numFmtId="0" fontId="0" fillId="3" borderId="6" xfId="0" applyFill="1" applyBorder="1" applyAlignment="1">
      <alignment horizontal="center"/>
    </xf>
    <xf numFmtId="0" fontId="5" fillId="3" borderId="6" xfId="0" applyFont="1" applyFill="1" applyBorder="1" applyAlignment="1">
      <alignment horizontal="right"/>
    </xf>
    <xf numFmtId="164" fontId="0" fillId="3" borderId="6" xfId="0" applyNumberFormat="1" applyFill="1" applyBorder="1"/>
    <xf numFmtId="164" fontId="0" fillId="2" borderId="3" xfId="0" applyNumberFormat="1" applyFill="1" applyBorder="1"/>
    <xf numFmtId="0" fontId="5" fillId="0" borderId="1" xfId="0" applyFont="1" applyBorder="1" applyAlignment="1">
      <alignment horizontal="center" wrapText="1"/>
    </xf>
    <xf numFmtId="17" fontId="5" fillId="0" borderId="7" xfId="0" applyNumberFormat="1" applyFont="1" applyBorder="1" applyAlignment="1">
      <alignment horizontal="center" wrapText="1"/>
    </xf>
    <xf numFmtId="0" fontId="5" fillId="2" borderId="10" xfId="0" applyFont="1" applyFill="1" applyBorder="1" applyAlignment="1">
      <alignment horizontal="center" wrapText="1"/>
    </xf>
    <xf numFmtId="17" fontId="5" fillId="2" borderId="8" xfId="0" applyNumberFormat="1" applyFont="1" applyFill="1" applyBorder="1" applyAlignment="1">
      <alignment horizontal="center" wrapText="1"/>
    </xf>
    <xf numFmtId="1" fontId="5" fillId="2" borderId="8" xfId="0" applyNumberFormat="1" applyFont="1" applyFill="1" applyBorder="1" applyAlignment="1">
      <alignment horizontal="center" wrapText="1"/>
    </xf>
    <xf numFmtId="1" fontId="5" fillId="9" borderId="8" xfId="0" applyNumberFormat="1" applyFont="1" applyFill="1" applyBorder="1" applyAlignment="1">
      <alignment horizontal="center" wrapText="1"/>
    </xf>
    <xf numFmtId="0" fontId="5" fillId="13" borderId="1" xfId="0" applyFont="1" applyFill="1" applyBorder="1" applyAlignment="1">
      <alignment horizontal="center" wrapText="1"/>
    </xf>
    <xf numFmtId="17" fontId="5" fillId="13" borderId="7" xfId="0" applyNumberFormat="1" applyFont="1" applyFill="1" applyBorder="1" applyAlignment="1">
      <alignment horizontal="center" wrapText="1"/>
    </xf>
    <xf numFmtId="49" fontId="3" fillId="0" borderId="3" xfId="0" applyNumberFormat="1" applyFont="1" applyBorder="1" applyAlignment="1">
      <alignment horizontal="center"/>
    </xf>
    <xf numFmtId="0" fontId="3" fillId="0" borderId="0" xfId="0" applyFont="1"/>
    <xf numFmtId="0" fontId="3" fillId="3" borderId="3" xfId="0" applyFont="1" applyFill="1" applyBorder="1" applyAlignment="1">
      <alignment horizontal="center"/>
    </xf>
    <xf numFmtId="0" fontId="3" fillId="0" borderId="3" xfId="0" applyFont="1" applyBorder="1" applyAlignment="1">
      <alignment horizontal="center"/>
    </xf>
    <xf numFmtId="0" fontId="4" fillId="0" borderId="3" xfId="0" applyFont="1" applyBorder="1" applyAlignment="1">
      <alignment horizontal="center"/>
    </xf>
    <xf numFmtId="1" fontId="3" fillId="6" borderId="4" xfId="0" applyNumberFormat="1" applyFont="1" applyFill="1" applyBorder="1" applyAlignment="1">
      <alignment horizontal="center"/>
    </xf>
    <xf numFmtId="168" fontId="3" fillId="0" borderId="3" xfId="1" applyNumberFormat="1" applyFont="1" applyBorder="1" applyAlignment="1">
      <alignment horizontal="center"/>
    </xf>
    <xf numFmtId="0" fontId="3" fillId="0" borderId="3" xfId="0" applyFont="1" applyBorder="1" applyAlignment="1">
      <alignment horizontal="left"/>
    </xf>
    <xf numFmtId="49" fontId="21" fillId="3" borderId="10" xfId="0" quotePrefix="1" applyNumberFormat="1" applyFont="1" applyFill="1" applyBorder="1" applyAlignment="1">
      <alignment horizontal="left"/>
    </xf>
    <xf numFmtId="17" fontId="20" fillId="0" borderId="3" xfId="0" applyNumberFormat="1" applyFont="1" applyBorder="1" applyAlignment="1">
      <alignment horizontal="center"/>
    </xf>
    <xf numFmtId="0" fontId="20" fillId="0" borderId="3" xfId="0" applyFont="1" applyBorder="1" applyAlignment="1">
      <alignment horizontal="left"/>
    </xf>
    <xf numFmtId="49" fontId="21" fillId="3" borderId="3" xfId="0" applyNumberFormat="1" applyFont="1" applyFill="1" applyBorder="1" applyAlignment="1">
      <alignment horizontal="left"/>
    </xf>
    <xf numFmtId="0" fontId="2" fillId="3" borderId="16" xfId="0" applyFont="1" applyFill="1" applyBorder="1" applyAlignment="1">
      <alignment horizontal="center" vertical="center"/>
    </xf>
    <xf numFmtId="1" fontId="3" fillId="0" borderId="4" xfId="0" applyNumberFormat="1" applyFont="1" applyBorder="1" applyAlignment="1">
      <alignment horizontal="center"/>
    </xf>
    <xf numFmtId="164" fontId="3" fillId="6" borderId="4" xfId="0" applyNumberFormat="1" applyFont="1" applyFill="1" applyBorder="1" applyAlignment="1">
      <alignment horizont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1" fontId="3" fillId="0" borderId="0" xfId="0" applyNumberFormat="1" applyFont="1" applyAlignment="1">
      <alignment horizontal="center"/>
    </xf>
    <xf numFmtId="49" fontId="3" fillId="3" borderId="3" xfId="0" applyNumberFormat="1" applyFont="1" applyFill="1" applyBorder="1" applyAlignment="1">
      <alignment horizontal="center"/>
    </xf>
    <xf numFmtId="1" fontId="3" fillId="3" borderId="4" xfId="0" applyNumberFormat="1" applyFont="1" applyFill="1" applyBorder="1" applyAlignment="1">
      <alignment horizontal="center"/>
    </xf>
    <xf numFmtId="164" fontId="3" fillId="3" borderId="4" xfId="0" applyNumberFormat="1" applyFont="1" applyFill="1" applyBorder="1" applyAlignment="1">
      <alignment horizontal="center"/>
    </xf>
    <xf numFmtId="49" fontId="3" fillId="5" borderId="4" xfId="0" applyNumberFormat="1" applyFont="1" applyFill="1" applyBorder="1" applyAlignment="1">
      <alignment horizontal="center"/>
    </xf>
    <xf numFmtId="1" fontId="3" fillId="5" borderId="4" xfId="0" applyNumberFormat="1" applyFont="1" applyFill="1" applyBorder="1" applyAlignment="1">
      <alignment horizontal="center"/>
    </xf>
    <xf numFmtId="1" fontId="3" fillId="3" borderId="21" xfId="0" applyNumberFormat="1" applyFont="1" applyFill="1" applyBorder="1" applyAlignment="1">
      <alignment horizontal="center"/>
    </xf>
    <xf numFmtId="164" fontId="3" fillId="0" borderId="4" xfId="0" applyNumberFormat="1" applyFont="1" applyBorder="1" applyAlignment="1">
      <alignment horizontal="center"/>
    </xf>
    <xf numFmtId="9" fontId="3" fillId="0" borderId="4" xfId="0" applyNumberFormat="1" applyFont="1" applyBorder="1" applyAlignment="1">
      <alignment horizontal="center"/>
    </xf>
    <xf numFmtId="1" fontId="3" fillId="0" borderId="6" xfId="0" applyNumberFormat="1" applyFont="1" applyBorder="1" applyAlignment="1">
      <alignment horizontal="center"/>
    </xf>
    <xf numFmtId="49" fontId="3" fillId="3" borderId="4" xfId="0" applyNumberFormat="1" applyFont="1" applyFill="1" applyBorder="1" applyAlignment="1">
      <alignment horizontal="center"/>
    </xf>
    <xf numFmtId="49" fontId="3" fillId="0" borderId="10" xfId="0" applyNumberFormat="1" applyFont="1" applyBorder="1" applyAlignment="1">
      <alignment horizontal="center"/>
    </xf>
    <xf numFmtId="1" fontId="3" fillId="0" borderId="3" xfId="0" applyNumberFormat="1" applyFont="1" applyBorder="1" applyAlignment="1">
      <alignment horizontal="center"/>
    </xf>
    <xf numFmtId="9" fontId="3" fillId="0" borderId="4" xfId="0" quotePrefix="1" applyNumberFormat="1" applyFont="1" applyBorder="1" applyAlignment="1">
      <alignment horizontal="center"/>
    </xf>
    <xf numFmtId="164" fontId="3" fillId="8" borderId="4" xfId="0" applyNumberFormat="1" applyFont="1" applyFill="1" applyBorder="1" applyAlignment="1">
      <alignment horizontal="center"/>
    </xf>
    <xf numFmtId="1" fontId="3" fillId="0" borderId="4" xfId="0" applyNumberFormat="1" applyFont="1" applyBorder="1" applyAlignment="1">
      <alignment horizontal="left"/>
    </xf>
    <xf numFmtId="1" fontId="3" fillId="11" borderId="4" xfId="0" applyNumberFormat="1" applyFont="1" applyFill="1" applyBorder="1" applyAlignment="1">
      <alignment horizontal="center"/>
    </xf>
    <xf numFmtId="1" fontId="3" fillId="2" borderId="4" xfId="0" applyNumberFormat="1" applyFont="1" applyFill="1" applyBorder="1" applyAlignment="1">
      <alignment horizontal="center"/>
    </xf>
    <xf numFmtId="164" fontId="3" fillId="2" borderId="4" xfId="0" applyNumberFormat="1" applyFont="1" applyFill="1" applyBorder="1" applyAlignment="1">
      <alignment horizontal="center"/>
    </xf>
    <xf numFmtId="9" fontId="3" fillId="2" borderId="4" xfId="0" applyNumberFormat="1" applyFont="1" applyFill="1" applyBorder="1" applyAlignment="1">
      <alignment horizontal="center"/>
    </xf>
    <xf numFmtId="1" fontId="3" fillId="7" borderId="4" xfId="0" applyNumberFormat="1" applyFont="1" applyFill="1" applyBorder="1" applyAlignment="1">
      <alignment horizontal="center"/>
    </xf>
    <xf numFmtId="49" fontId="3" fillId="5" borderId="3" xfId="0" applyNumberFormat="1" applyFont="1" applyFill="1" applyBorder="1" applyAlignment="1">
      <alignment horizontal="center"/>
    </xf>
    <xf numFmtId="1" fontId="3" fillId="12" borderId="4" xfId="0" applyNumberFormat="1" applyFont="1" applyFill="1" applyBorder="1" applyAlignment="1">
      <alignment horizontal="center"/>
    </xf>
    <xf numFmtId="165" fontId="3" fillId="0" borderId="4" xfId="0" applyNumberFormat="1" applyFont="1" applyBorder="1" applyAlignment="1">
      <alignment horizontal="center"/>
    </xf>
    <xf numFmtId="0" fontId="5" fillId="3" borderId="10" xfId="0" applyFont="1" applyFill="1" applyBorder="1" applyAlignment="1">
      <alignment horizontal="center"/>
    </xf>
    <xf numFmtId="1" fontId="5" fillId="3" borderId="3" xfId="0" applyNumberFormat="1" applyFont="1" applyFill="1" applyBorder="1" applyAlignment="1">
      <alignment horizontal="center"/>
    </xf>
    <xf numFmtId="0" fontId="0" fillId="0" borderId="0" xfId="0" applyAlignment="1">
      <alignment horizontal="left"/>
    </xf>
    <xf numFmtId="0" fontId="9" fillId="0" borderId="0" xfId="0" applyFont="1" applyAlignment="1">
      <alignment horizontal="center"/>
    </xf>
    <xf numFmtId="164" fontId="5" fillId="0" borderId="7" xfId="0" applyNumberFormat="1" applyFont="1" applyBorder="1" applyAlignment="1">
      <alignment horizontal="center" wrapText="1"/>
    </xf>
    <xf numFmtId="164" fontId="5" fillId="0" borderId="20" xfId="0" applyNumberFormat="1" applyFont="1" applyBorder="1" applyAlignment="1">
      <alignment horizontal="center" wrapText="1"/>
    </xf>
    <xf numFmtId="164" fontId="5" fillId="0" borderId="19" xfId="0" applyNumberFormat="1" applyFont="1" applyBorder="1" applyAlignment="1">
      <alignment horizontal="center" wrapText="1"/>
    </xf>
    <xf numFmtId="1" fontId="5" fillId="3" borderId="10" xfId="0" applyNumberFormat="1" applyFont="1" applyFill="1" applyBorder="1" applyAlignment="1">
      <alignment horizontal="center"/>
    </xf>
    <xf numFmtId="0" fontId="1" fillId="3" borderId="3" xfId="0" applyFont="1" applyFill="1" applyBorder="1" applyAlignment="1">
      <alignment horizontal="center" vertical="center"/>
    </xf>
    <xf numFmtId="0" fontId="0" fillId="5" borderId="4" xfId="0" applyFill="1" applyBorder="1" applyAlignment="1">
      <alignment horizontal="center"/>
    </xf>
    <xf numFmtId="0" fontId="0" fillId="5" borderId="4" xfId="0" applyFill="1" applyBorder="1"/>
    <xf numFmtId="1" fontId="0" fillId="5" borderId="0" xfId="0" applyNumberFormat="1" applyFill="1" applyBorder="1" applyAlignment="1">
      <alignment horizontal="center"/>
    </xf>
    <xf numFmtId="1" fontId="5" fillId="5" borderId="13" xfId="0" applyNumberFormat="1" applyFont="1" applyFill="1" applyBorder="1" applyAlignment="1">
      <alignment horizontal="center" wrapText="1"/>
    </xf>
    <xf numFmtId="1" fontId="3" fillId="5" borderId="0" xfId="0" applyNumberFormat="1" applyFont="1" applyFill="1" applyBorder="1" applyAlignment="1">
      <alignment horizontal="center"/>
    </xf>
    <xf numFmtId="1" fontId="5" fillId="5" borderId="0" xfId="0" applyNumberFormat="1" applyFont="1" applyFill="1" applyBorder="1" applyAlignment="1">
      <alignment horizontal="center" wrapText="1"/>
    </xf>
    <xf numFmtId="1" fontId="3" fillId="0" borderId="4" xfId="0" applyNumberFormat="1" applyFont="1" applyFill="1" applyBorder="1" applyAlignment="1">
      <alignment horizontal="center"/>
    </xf>
    <xf numFmtId="164" fontId="3" fillId="0" borderId="4" xfId="0" applyNumberFormat="1" applyFont="1" applyFill="1" applyBorder="1" applyAlignment="1">
      <alignment horizontal="center"/>
    </xf>
    <xf numFmtId="0" fontId="3" fillId="0" borderId="3" xfId="0" applyFont="1" applyFill="1" applyBorder="1" applyAlignment="1">
      <alignment horizontal="center"/>
    </xf>
  </cellXfs>
  <cellStyles count="11">
    <cellStyle name="Comma" xfId="1" builtinId="3"/>
    <cellStyle name="Comma 2" xfId="2" xr:uid="{00000000-0005-0000-0000-000001000000}"/>
    <cellStyle name="Comma 2 2" xfId="3" xr:uid="{00000000-0005-0000-0000-000002000000}"/>
    <cellStyle name="Comma 3" xfId="4" xr:uid="{00000000-0005-0000-0000-000003000000}"/>
    <cellStyle name="Currency 2" xfId="5" xr:uid="{00000000-0005-0000-0000-000005000000}"/>
    <cellStyle name="Currency 2 2" xfId="6" xr:uid="{00000000-0005-0000-0000-000006000000}"/>
    <cellStyle name="Currency 3" xfId="7" xr:uid="{00000000-0005-0000-0000-000007000000}"/>
    <cellStyle name="Normal" xfId="0" builtinId="0"/>
    <cellStyle name="Normal 2" xfId="8" xr:uid="{00000000-0005-0000-0000-000009000000}"/>
    <cellStyle name="Normal 3" xfId="9" xr:uid="{00000000-0005-0000-0000-00000A000000}"/>
    <cellStyle name="Normal 4"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G103"/>
  <sheetViews>
    <sheetView tabSelected="1" zoomScaleNormal="100" workbookViewId="0">
      <selection activeCell="AN12" sqref="AN12"/>
    </sheetView>
  </sheetViews>
  <sheetFormatPr defaultRowHeight="12.75" x14ac:dyDescent="0.2"/>
  <cols>
    <col min="1" max="1" width="5.28515625" style="6" customWidth="1"/>
    <col min="2" max="2" width="7.28515625" style="6" hidden="1" customWidth="1"/>
    <col min="3" max="3" width="2.7109375" style="6" customWidth="1"/>
    <col min="4" max="4" width="10.42578125" style="6" customWidth="1"/>
    <col min="5" max="5" width="10.85546875" style="6" customWidth="1"/>
    <col min="6" max="6" width="15" style="6" customWidth="1"/>
    <col min="7" max="7" width="9.28515625" style="6" customWidth="1"/>
    <col min="8" max="8" width="20.7109375" style="6" customWidth="1"/>
    <col min="9" max="10" width="12.7109375" style="6" customWidth="1"/>
    <col min="11" max="11" width="11.42578125" style="6" customWidth="1"/>
    <col min="12" max="12" width="9.7109375" style="7" customWidth="1"/>
    <col min="13" max="13" width="13.28515625" style="7" hidden="1" customWidth="1"/>
    <col min="14" max="14" width="15" style="9" hidden="1" customWidth="1"/>
    <col min="15" max="15" width="6.28515625" style="9" hidden="1" customWidth="1"/>
    <col min="16" max="16" width="6.5703125" style="7" hidden="1" customWidth="1"/>
    <col min="17" max="17" width="7.28515625" style="7" hidden="1" customWidth="1"/>
    <col min="18" max="18" width="7.42578125" style="7" hidden="1" customWidth="1"/>
    <col min="19" max="19" width="6.7109375" style="7" hidden="1" customWidth="1"/>
    <col min="20" max="20" width="7.28515625" style="7" hidden="1" customWidth="1"/>
    <col min="21" max="21" width="7.5703125" style="7" hidden="1" customWidth="1"/>
    <col min="22" max="22" width="6.7109375" style="7" hidden="1" customWidth="1"/>
    <col min="23" max="23" width="7" style="7" hidden="1" customWidth="1"/>
    <col min="24" max="24" width="12" style="7" hidden="1" customWidth="1"/>
    <col min="25" max="25" width="6.5703125" style="7" hidden="1" customWidth="1"/>
    <col min="26" max="26" width="28.7109375" style="7" hidden="1" customWidth="1"/>
    <col min="27" max="27" width="41.28515625" style="7" customWidth="1"/>
    <col min="28" max="28" width="38.140625" style="7" hidden="1" customWidth="1"/>
    <col min="29" max="29" width="32.5703125" style="7" hidden="1" customWidth="1"/>
    <col min="30" max="30" width="17.140625" style="7" hidden="1" customWidth="1"/>
    <col min="31" max="31" width="33.5703125" style="7" hidden="1" customWidth="1"/>
    <col min="32" max="32" width="14.28515625" style="7" customWidth="1"/>
    <col min="33" max="33" width="12.140625" customWidth="1"/>
    <col min="36" max="36" width="13.42578125" customWidth="1"/>
  </cols>
  <sheetData>
    <row r="2" spans="1:33" ht="27.75" x14ac:dyDescent="0.4">
      <c r="A2" s="169" t="s">
        <v>341</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row>
    <row r="3" spans="1:33" ht="12.75" customHeight="1" x14ac:dyDescent="0.2">
      <c r="A3" s="101"/>
      <c r="B3" s="125"/>
      <c r="C3" s="4"/>
      <c r="D3" s="4"/>
      <c r="E3" s="4"/>
      <c r="F3" s="4"/>
      <c r="G3" s="4"/>
      <c r="H3" s="3"/>
      <c r="I3" s="3"/>
      <c r="J3" s="3"/>
      <c r="K3" s="13"/>
      <c r="L3" s="13"/>
      <c r="M3" s="13"/>
      <c r="N3" s="24"/>
      <c r="O3" s="23"/>
      <c r="P3" s="16"/>
      <c r="Q3" s="16"/>
      <c r="R3" s="16"/>
      <c r="S3" s="16"/>
      <c r="T3" s="23"/>
      <c r="U3" s="16"/>
      <c r="V3" s="16"/>
      <c r="W3" s="16"/>
      <c r="X3" s="49"/>
      <c r="Y3" s="49"/>
      <c r="Z3" s="49"/>
      <c r="AA3" s="41" t="s">
        <v>16</v>
      </c>
      <c r="AB3" s="138"/>
      <c r="AC3" s="138"/>
      <c r="AD3" s="138"/>
      <c r="AE3" s="138"/>
      <c r="AF3" s="41" t="s">
        <v>24</v>
      </c>
    </row>
    <row r="4" spans="1:33" ht="12.75" customHeight="1" x14ac:dyDescent="0.2">
      <c r="A4" s="101"/>
      <c r="B4" s="125"/>
      <c r="C4" s="76"/>
      <c r="D4" s="76"/>
      <c r="E4" s="76"/>
      <c r="F4" s="76"/>
      <c r="G4" s="175"/>
      <c r="H4" s="176"/>
      <c r="I4" s="176"/>
      <c r="J4" s="176"/>
      <c r="K4" s="80"/>
      <c r="L4" s="80"/>
      <c r="M4" s="80"/>
      <c r="N4" s="79"/>
      <c r="O4" s="80"/>
      <c r="P4" s="80"/>
      <c r="Q4" s="80"/>
      <c r="R4" s="80"/>
      <c r="S4" s="177"/>
      <c r="T4" s="177"/>
      <c r="U4" s="177"/>
      <c r="V4" s="177"/>
      <c r="W4" s="177"/>
      <c r="X4" s="177"/>
      <c r="Y4" s="177"/>
      <c r="Z4" s="177"/>
      <c r="AA4" s="178"/>
      <c r="AB4" s="179"/>
      <c r="AC4" s="179"/>
      <c r="AD4" s="179"/>
      <c r="AE4" s="179"/>
      <c r="AF4" s="180"/>
    </row>
    <row r="5" spans="1:33" x14ac:dyDescent="0.2">
      <c r="A5" s="101"/>
      <c r="B5" s="94" t="s">
        <v>28</v>
      </c>
      <c r="C5" s="21"/>
      <c r="D5" s="65" t="s">
        <v>340</v>
      </c>
      <c r="E5" s="21"/>
      <c r="F5" s="21"/>
      <c r="G5" s="23"/>
      <c r="H5" s="23"/>
      <c r="I5" s="23"/>
      <c r="J5" s="23"/>
      <c r="K5" s="23"/>
      <c r="L5" s="23"/>
      <c r="M5" s="23"/>
      <c r="N5" s="23"/>
      <c r="O5" s="23"/>
      <c r="P5" s="23"/>
      <c r="Q5" s="23"/>
      <c r="R5" s="23"/>
      <c r="S5" s="31"/>
      <c r="T5" s="31"/>
      <c r="U5" s="31"/>
      <c r="V5" s="31"/>
      <c r="W5" s="31"/>
      <c r="X5" s="31"/>
      <c r="Y5" s="31"/>
      <c r="Z5" s="31"/>
      <c r="AA5" s="148"/>
      <c r="AG5" s="10"/>
    </row>
    <row r="6" spans="1:33" ht="12" customHeight="1" x14ac:dyDescent="0.2">
      <c r="A6" s="101"/>
      <c r="B6" s="125" t="s">
        <v>30</v>
      </c>
      <c r="C6" s="4"/>
      <c r="D6" s="132" t="s">
        <v>68</v>
      </c>
      <c r="E6" s="4"/>
      <c r="F6" s="4"/>
      <c r="G6" s="4"/>
      <c r="H6" s="3"/>
      <c r="I6" s="3"/>
      <c r="J6" s="3"/>
      <c r="K6" s="54"/>
      <c r="L6" s="13"/>
      <c r="M6" s="13"/>
      <c r="N6" s="24"/>
      <c r="O6" s="23"/>
      <c r="P6" s="16"/>
      <c r="Q6" s="16"/>
      <c r="R6" s="16"/>
      <c r="S6" s="23"/>
      <c r="T6" s="16"/>
      <c r="U6" s="16"/>
      <c r="V6" s="16"/>
      <c r="W6" s="16"/>
      <c r="X6" s="49"/>
      <c r="Y6" s="49"/>
      <c r="Z6" s="49"/>
      <c r="AA6" s="128" t="s">
        <v>69</v>
      </c>
      <c r="AB6" s="174"/>
      <c r="AC6" s="138"/>
      <c r="AD6" s="138"/>
      <c r="AE6" s="138"/>
      <c r="AF6" s="139">
        <v>118206.09000000001</v>
      </c>
    </row>
    <row r="7" spans="1:33" ht="12.75" customHeight="1" x14ac:dyDescent="0.2">
      <c r="A7" s="101"/>
      <c r="B7" s="125" t="s">
        <v>36</v>
      </c>
      <c r="C7" s="4"/>
      <c r="D7" s="132" t="s">
        <v>68</v>
      </c>
      <c r="E7" s="4"/>
      <c r="F7" s="4"/>
      <c r="G7" s="4"/>
      <c r="H7" s="3"/>
      <c r="I7" s="3"/>
      <c r="J7" s="3"/>
      <c r="K7" s="54"/>
      <c r="L7" s="13"/>
      <c r="M7" s="13"/>
      <c r="N7" s="24"/>
      <c r="O7" s="23"/>
      <c r="P7" s="16"/>
      <c r="Q7" s="16"/>
      <c r="R7" s="16"/>
      <c r="S7" s="23"/>
      <c r="T7" s="16"/>
      <c r="U7" s="16"/>
      <c r="V7" s="16"/>
      <c r="W7" s="16"/>
      <c r="X7" s="49"/>
      <c r="Y7" s="49"/>
      <c r="Z7" s="49"/>
      <c r="AA7" s="128" t="s">
        <v>69</v>
      </c>
      <c r="AB7" s="174"/>
      <c r="AC7" s="138"/>
      <c r="AD7" s="138"/>
      <c r="AE7" s="138"/>
      <c r="AF7" s="139">
        <v>118206.09000000001</v>
      </c>
    </row>
    <row r="8" spans="1:33" ht="12.75" customHeight="1" x14ac:dyDescent="0.2">
      <c r="A8" s="101"/>
      <c r="B8" s="125" t="s">
        <v>38</v>
      </c>
      <c r="C8" s="4"/>
      <c r="D8" s="132" t="s">
        <v>68</v>
      </c>
      <c r="E8" s="4"/>
      <c r="F8" s="4"/>
      <c r="G8" s="4"/>
      <c r="H8" s="3"/>
      <c r="I8" s="3"/>
      <c r="J8" s="3"/>
      <c r="K8" s="54"/>
      <c r="L8" s="13"/>
      <c r="M8" s="13"/>
      <c r="N8" s="24"/>
      <c r="O8" s="23"/>
      <c r="P8" s="16"/>
      <c r="Q8" s="16"/>
      <c r="R8" s="16"/>
      <c r="S8" s="23"/>
      <c r="T8" s="16"/>
      <c r="U8" s="16"/>
      <c r="V8" s="16"/>
      <c r="W8" s="16"/>
      <c r="X8" s="49"/>
      <c r="Y8" s="49"/>
      <c r="Z8" s="49"/>
      <c r="AA8" s="128" t="s">
        <v>69</v>
      </c>
      <c r="AB8" s="174"/>
      <c r="AC8" s="138"/>
      <c r="AD8" s="138"/>
      <c r="AE8" s="138"/>
      <c r="AF8" s="139">
        <v>118206.09000000001</v>
      </c>
    </row>
    <row r="9" spans="1:33" ht="12.75" customHeight="1" x14ac:dyDescent="0.2">
      <c r="A9" s="101"/>
      <c r="B9" s="125" t="s">
        <v>40</v>
      </c>
      <c r="C9" s="4"/>
      <c r="D9" s="132" t="s">
        <v>68</v>
      </c>
      <c r="E9" s="4"/>
      <c r="F9" s="4"/>
      <c r="G9" s="4"/>
      <c r="H9" s="3"/>
      <c r="I9" s="3"/>
      <c r="J9" s="3"/>
      <c r="K9" s="54"/>
      <c r="L9" s="13"/>
      <c r="M9" s="13"/>
      <c r="N9" s="24"/>
      <c r="O9" s="23"/>
      <c r="P9" s="16"/>
      <c r="Q9" s="16"/>
      <c r="R9" s="16"/>
      <c r="S9" s="23"/>
      <c r="T9" s="16"/>
      <c r="U9" s="16"/>
      <c r="V9" s="16"/>
      <c r="W9" s="16"/>
      <c r="X9" s="49"/>
      <c r="Y9" s="49"/>
      <c r="Z9" s="49"/>
      <c r="AA9" s="128" t="s">
        <v>69</v>
      </c>
      <c r="AB9" s="174"/>
      <c r="AC9" s="138"/>
      <c r="AD9" s="138"/>
      <c r="AE9" s="138"/>
      <c r="AF9" s="139">
        <v>118206.09000000001</v>
      </c>
    </row>
    <row r="10" spans="1:33" ht="12.75" customHeight="1" x14ac:dyDescent="0.2">
      <c r="A10" s="101"/>
      <c r="B10" s="125" t="s">
        <v>42</v>
      </c>
      <c r="C10" s="4"/>
      <c r="D10" s="132" t="s">
        <v>68</v>
      </c>
      <c r="E10" s="4"/>
      <c r="F10" s="4"/>
      <c r="G10" s="4"/>
      <c r="H10" s="3"/>
      <c r="I10" s="3"/>
      <c r="J10" s="3"/>
      <c r="K10" s="54"/>
      <c r="L10" s="13"/>
      <c r="M10" s="13"/>
      <c r="N10" s="24"/>
      <c r="O10" s="23"/>
      <c r="P10" s="16"/>
      <c r="Q10" s="16"/>
      <c r="R10" s="16"/>
      <c r="S10" s="23"/>
      <c r="T10" s="16"/>
      <c r="U10" s="16"/>
      <c r="V10" s="16"/>
      <c r="W10" s="16"/>
      <c r="X10" s="49"/>
      <c r="Y10" s="49"/>
      <c r="Z10" s="49"/>
      <c r="AA10" s="128" t="s">
        <v>69</v>
      </c>
      <c r="AB10" s="174"/>
      <c r="AC10" s="138"/>
      <c r="AD10" s="138"/>
      <c r="AE10" s="138"/>
      <c r="AF10" s="139">
        <v>118206.09000000001</v>
      </c>
    </row>
    <row r="11" spans="1:33" ht="12.75" customHeight="1" thickBot="1" x14ac:dyDescent="0.25">
      <c r="A11" s="101"/>
      <c r="B11" s="125" t="s">
        <v>44</v>
      </c>
      <c r="C11" s="4"/>
      <c r="D11" s="132" t="s">
        <v>68</v>
      </c>
      <c r="E11" s="4"/>
      <c r="F11" s="4"/>
      <c r="G11" s="4"/>
      <c r="H11" s="3"/>
      <c r="I11" s="3"/>
      <c r="J11" s="3"/>
      <c r="K11" s="54"/>
      <c r="L11" s="13"/>
      <c r="M11" s="13"/>
      <c r="N11" s="24"/>
      <c r="O11" s="23"/>
      <c r="P11" s="16"/>
      <c r="Q11" s="16"/>
      <c r="R11" s="16"/>
      <c r="S11" s="16"/>
      <c r="T11" s="16"/>
      <c r="U11" s="16"/>
      <c r="V11" s="16"/>
      <c r="W11" s="16"/>
      <c r="X11" s="16"/>
      <c r="Y11" s="16"/>
      <c r="Z11" s="16"/>
      <c r="AA11" s="128" t="s">
        <v>69</v>
      </c>
      <c r="AB11" s="174"/>
      <c r="AC11" s="138"/>
      <c r="AD11" s="138"/>
      <c r="AE11" s="138"/>
      <c r="AF11" s="139">
        <v>80969.55</v>
      </c>
    </row>
    <row r="12" spans="1:33" ht="15" customHeight="1" thickBot="1" x14ac:dyDescent="0.35">
      <c r="O12" s="68"/>
      <c r="P12" s="69"/>
      <c r="Q12" s="67" t="s">
        <v>0</v>
      </c>
      <c r="R12" s="51"/>
      <c r="S12" s="37"/>
      <c r="T12" s="37"/>
      <c r="U12" s="37"/>
      <c r="V12" s="37"/>
      <c r="W12" s="51"/>
      <c r="X12" s="48"/>
      <c r="Y12" s="42"/>
      <c r="Z12" s="42"/>
      <c r="AA12" s="42"/>
      <c r="AB12" s="42"/>
      <c r="AC12" s="42"/>
      <c r="AD12" s="42"/>
      <c r="AE12" s="42"/>
      <c r="AF12" s="42"/>
    </row>
    <row r="13" spans="1:33" ht="16.5" customHeight="1" x14ac:dyDescent="0.2">
      <c r="A13" s="119"/>
      <c r="B13" s="18"/>
      <c r="C13" s="19"/>
      <c r="D13" s="119"/>
      <c r="E13" s="119"/>
      <c r="F13" s="119"/>
      <c r="G13" s="119"/>
      <c r="H13" s="119"/>
      <c r="I13" s="119"/>
      <c r="J13" s="119"/>
      <c r="K13" s="20"/>
      <c r="L13" s="20"/>
      <c r="M13" s="20"/>
      <c r="N13" s="120"/>
      <c r="O13" s="121"/>
      <c r="P13" s="121"/>
      <c r="Q13" s="121"/>
      <c r="R13" s="121"/>
      <c r="S13" s="121"/>
      <c r="T13" s="121"/>
      <c r="U13" s="121"/>
      <c r="V13" s="121"/>
      <c r="W13" s="121"/>
      <c r="X13" s="122"/>
      <c r="Y13" s="122"/>
      <c r="Z13" s="122"/>
      <c r="AA13" s="121"/>
      <c r="AB13" s="121"/>
      <c r="AC13" s="121"/>
      <c r="AD13" s="121"/>
      <c r="AE13" s="121"/>
      <c r="AF13" s="44"/>
    </row>
    <row r="14" spans="1:33" s="36" customFormat="1" ht="12.6" hidden="1" customHeight="1" x14ac:dyDescent="0.2">
      <c r="A14" s="143"/>
      <c r="B14" s="29"/>
      <c r="C14" s="99"/>
      <c r="D14" s="29"/>
      <c r="E14" s="29"/>
      <c r="F14" s="29"/>
      <c r="G14" s="29"/>
      <c r="H14" s="95"/>
      <c r="I14" s="95"/>
      <c r="J14" s="95"/>
      <c r="K14" s="54"/>
      <c r="L14" s="54"/>
      <c r="M14" s="54"/>
      <c r="N14" s="102"/>
      <c r="O14" s="23"/>
      <c r="P14" s="23"/>
      <c r="Q14" s="23"/>
      <c r="R14" s="23"/>
      <c r="S14" s="23"/>
      <c r="T14" s="23"/>
      <c r="U14" s="23"/>
      <c r="V14" s="23"/>
      <c r="W14" s="23"/>
      <c r="X14" s="23"/>
      <c r="Y14" s="23"/>
      <c r="Z14" s="23"/>
      <c r="AA14" s="144"/>
      <c r="AB14" s="144"/>
      <c r="AC14" s="144"/>
      <c r="AD14" s="144"/>
      <c r="AE14" s="144"/>
      <c r="AF14" s="145"/>
    </row>
    <row r="15" spans="1:33" ht="13.5" hidden="1" thickBot="1" x14ac:dyDescent="0.25">
      <c r="A15" s="94" t="s">
        <v>28</v>
      </c>
      <c r="B15" s="21"/>
      <c r="C15" s="62"/>
      <c r="D15" s="64" t="s">
        <v>29</v>
      </c>
      <c r="E15" s="63"/>
      <c r="F15" s="21"/>
      <c r="G15" s="21"/>
      <c r="H15" s="22"/>
      <c r="I15" s="22"/>
      <c r="J15" s="22"/>
      <c r="K15" s="57"/>
      <c r="L15" s="57"/>
      <c r="M15" s="57"/>
      <c r="N15" s="52"/>
      <c r="O15" s="39"/>
    </row>
    <row r="16" spans="1:33" ht="12.75" hidden="1" customHeight="1" x14ac:dyDescent="0.2">
      <c r="A16" s="125" t="s">
        <v>30</v>
      </c>
      <c r="B16" s="4"/>
      <c r="C16" s="5"/>
      <c r="D16" s="29">
        <v>2354</v>
      </c>
      <c r="E16" s="127" t="s">
        <v>31</v>
      </c>
      <c r="F16" s="129" t="s">
        <v>32</v>
      </c>
      <c r="G16" s="4">
        <v>2023</v>
      </c>
      <c r="H16" s="3" t="s">
        <v>33</v>
      </c>
      <c r="I16" s="128" t="s">
        <v>34</v>
      </c>
      <c r="J16" s="131">
        <v>4864</v>
      </c>
      <c r="K16" s="13">
        <v>2023</v>
      </c>
      <c r="L16" s="13" t="e">
        <f>#REF!-K16</f>
        <v>#REF!</v>
      </c>
      <c r="M16" s="13"/>
      <c r="N16" s="24"/>
      <c r="O16" s="23"/>
      <c r="P16" s="16"/>
      <c r="Q16" s="16"/>
      <c r="R16" s="16"/>
      <c r="S16" s="23"/>
      <c r="T16" s="16"/>
      <c r="U16" s="16"/>
      <c r="V16" s="16"/>
      <c r="W16" s="16"/>
      <c r="X16" s="49"/>
      <c r="Y16" s="49"/>
      <c r="Z16" s="49"/>
      <c r="AA16" s="130" t="s">
        <v>35</v>
      </c>
      <c r="AB16" s="140"/>
      <c r="AC16" s="138"/>
      <c r="AD16" s="138"/>
      <c r="AE16" s="138"/>
      <c r="AF16" s="139">
        <v>0</v>
      </c>
    </row>
    <row r="17" spans="1:32" ht="12.75" hidden="1" customHeight="1" x14ac:dyDescent="0.2">
      <c r="A17" s="125" t="s">
        <v>36</v>
      </c>
      <c r="B17" s="4"/>
      <c r="C17" s="5"/>
      <c r="D17" s="29">
        <v>2356</v>
      </c>
      <c r="E17" s="127" t="s">
        <v>31</v>
      </c>
      <c r="F17" s="129" t="s">
        <v>32</v>
      </c>
      <c r="G17" s="4">
        <v>2023</v>
      </c>
      <c r="H17" s="3" t="s">
        <v>37</v>
      </c>
      <c r="I17" s="128" t="s">
        <v>34</v>
      </c>
      <c r="J17" s="131">
        <v>2519</v>
      </c>
      <c r="K17" s="13">
        <v>2023</v>
      </c>
      <c r="L17" s="13" t="e">
        <f>#REF!-K17</f>
        <v>#REF!</v>
      </c>
      <c r="M17" s="13"/>
      <c r="N17" s="24"/>
      <c r="O17" s="23"/>
      <c r="P17" s="16"/>
      <c r="Q17" s="16"/>
      <c r="R17" s="16"/>
      <c r="S17" s="23"/>
      <c r="T17" s="16"/>
      <c r="U17" s="16"/>
      <c r="V17" s="16"/>
      <c r="W17" s="16"/>
      <c r="X17" s="49"/>
      <c r="Y17" s="49"/>
      <c r="Z17" s="49"/>
      <c r="AA17" s="130" t="s">
        <v>35</v>
      </c>
      <c r="AB17" s="140"/>
      <c r="AC17" s="138"/>
      <c r="AD17" s="138"/>
      <c r="AE17" s="138"/>
      <c r="AF17" s="139">
        <v>0</v>
      </c>
    </row>
    <row r="18" spans="1:32" ht="12.75" hidden="1" customHeight="1" x14ac:dyDescent="0.2">
      <c r="A18" s="125" t="s">
        <v>38</v>
      </c>
      <c r="B18" s="4"/>
      <c r="C18" s="5"/>
      <c r="D18" s="29">
        <v>2357</v>
      </c>
      <c r="E18" s="127" t="s">
        <v>31</v>
      </c>
      <c r="F18" s="129" t="s">
        <v>32</v>
      </c>
      <c r="G18" s="4">
        <v>2023</v>
      </c>
      <c r="H18" s="3" t="s">
        <v>39</v>
      </c>
      <c r="I18" s="128" t="s">
        <v>34</v>
      </c>
      <c r="J18" s="131">
        <v>4867</v>
      </c>
      <c r="K18" s="13">
        <v>2023</v>
      </c>
      <c r="L18" s="13" t="e">
        <f>#REF!-K18</f>
        <v>#REF!</v>
      </c>
      <c r="M18" s="13"/>
      <c r="N18" s="24"/>
      <c r="O18" s="23"/>
      <c r="P18" s="16"/>
      <c r="Q18" s="16"/>
      <c r="R18" s="16"/>
      <c r="S18" s="23"/>
      <c r="T18" s="16"/>
      <c r="U18" s="16"/>
      <c r="V18" s="16"/>
      <c r="W18" s="16"/>
      <c r="X18" s="49"/>
      <c r="Y18" s="49"/>
      <c r="Z18" s="49"/>
      <c r="AA18" s="130" t="s">
        <v>35</v>
      </c>
      <c r="AB18" s="140"/>
      <c r="AC18" s="138"/>
      <c r="AD18" s="138"/>
      <c r="AE18" s="138"/>
      <c r="AF18" s="139">
        <v>0</v>
      </c>
    </row>
    <row r="19" spans="1:32" ht="12.75" hidden="1" customHeight="1" x14ac:dyDescent="0.2">
      <c r="A19" s="125" t="s">
        <v>40</v>
      </c>
      <c r="B19" s="4"/>
      <c r="C19" s="5"/>
      <c r="D19" s="29">
        <v>2350</v>
      </c>
      <c r="E19" s="127" t="s">
        <v>31</v>
      </c>
      <c r="F19" s="129" t="s">
        <v>32</v>
      </c>
      <c r="G19" s="4">
        <v>2023</v>
      </c>
      <c r="H19" s="3" t="s">
        <v>41</v>
      </c>
      <c r="I19" s="128" t="s">
        <v>34</v>
      </c>
      <c r="J19" s="131">
        <v>9295</v>
      </c>
      <c r="K19" s="13">
        <v>2023</v>
      </c>
      <c r="L19" s="13" t="e">
        <f>#REF!-K19</f>
        <v>#REF!</v>
      </c>
      <c r="M19" s="13"/>
      <c r="N19" s="24"/>
      <c r="O19" s="23"/>
      <c r="P19" s="16"/>
      <c r="Q19" s="16"/>
      <c r="R19" s="16"/>
      <c r="S19" s="23"/>
      <c r="T19" s="16"/>
      <c r="U19" s="16"/>
      <c r="V19" s="16"/>
      <c r="W19" s="16"/>
      <c r="X19" s="49"/>
      <c r="Y19" s="49"/>
      <c r="Z19" s="49"/>
      <c r="AA19" s="130" t="s">
        <v>35</v>
      </c>
      <c r="AB19" s="140"/>
      <c r="AC19" s="138"/>
      <c r="AD19" s="138"/>
      <c r="AE19" s="138"/>
      <c r="AF19" s="139">
        <v>0</v>
      </c>
    </row>
    <row r="20" spans="1:32" ht="12.75" hidden="1" customHeight="1" x14ac:dyDescent="0.2">
      <c r="A20" s="125" t="s">
        <v>42</v>
      </c>
      <c r="B20" s="4"/>
      <c r="C20" s="5"/>
      <c r="D20" s="29">
        <v>2351</v>
      </c>
      <c r="E20" s="127" t="s">
        <v>31</v>
      </c>
      <c r="F20" s="129" t="s">
        <v>32</v>
      </c>
      <c r="G20" s="4">
        <v>2023</v>
      </c>
      <c r="H20" s="3" t="s">
        <v>43</v>
      </c>
      <c r="I20" s="128" t="s">
        <v>34</v>
      </c>
      <c r="J20" s="131">
        <v>9271</v>
      </c>
      <c r="K20" s="13">
        <v>2023</v>
      </c>
      <c r="L20" s="13" t="e">
        <f>#REF!-K20</f>
        <v>#REF!</v>
      </c>
      <c r="M20" s="13"/>
      <c r="N20" s="24"/>
      <c r="O20" s="23"/>
      <c r="P20" s="16"/>
      <c r="Q20" s="16"/>
      <c r="R20" s="16"/>
      <c r="S20" s="23"/>
      <c r="T20" s="16"/>
      <c r="U20" s="16"/>
      <c r="V20" s="16"/>
      <c r="W20" s="16"/>
      <c r="X20" s="49"/>
      <c r="Y20" s="49"/>
      <c r="Z20" s="49"/>
      <c r="AA20" s="130" t="s">
        <v>35</v>
      </c>
      <c r="AB20" s="140"/>
      <c r="AC20" s="138"/>
      <c r="AD20" s="138"/>
      <c r="AE20" s="138"/>
      <c r="AF20" s="139">
        <v>0</v>
      </c>
    </row>
    <row r="21" spans="1:32" ht="12.75" hidden="1" customHeight="1" x14ac:dyDescent="0.2">
      <c r="A21" s="125" t="s">
        <v>44</v>
      </c>
      <c r="B21" s="4"/>
      <c r="C21" s="5"/>
      <c r="D21" s="29">
        <v>2352</v>
      </c>
      <c r="E21" s="127" t="s">
        <v>31</v>
      </c>
      <c r="F21" s="129" t="s">
        <v>32</v>
      </c>
      <c r="G21" s="4">
        <v>2023</v>
      </c>
      <c r="H21" s="3" t="s">
        <v>45</v>
      </c>
      <c r="I21" s="128" t="s">
        <v>34</v>
      </c>
      <c r="J21" s="131">
        <v>9127</v>
      </c>
      <c r="K21" s="13">
        <v>2023</v>
      </c>
      <c r="L21" s="13" t="e">
        <f>#REF!-K21</f>
        <v>#REF!</v>
      </c>
      <c r="M21" s="13"/>
      <c r="N21" s="24"/>
      <c r="O21" s="23"/>
      <c r="P21" s="16"/>
      <c r="Q21" s="16"/>
      <c r="R21" s="16"/>
      <c r="S21" s="23"/>
      <c r="T21" s="16"/>
      <c r="U21" s="16"/>
      <c r="V21" s="16"/>
      <c r="W21" s="16"/>
      <c r="X21" s="49"/>
      <c r="Y21" s="49"/>
      <c r="Z21" s="49"/>
      <c r="AA21" s="130" t="s">
        <v>35</v>
      </c>
      <c r="AB21" s="140"/>
      <c r="AC21" s="138"/>
      <c r="AD21" s="138"/>
      <c r="AE21" s="138"/>
      <c r="AF21" s="139">
        <v>0</v>
      </c>
    </row>
    <row r="22" spans="1:32" ht="12.75" hidden="1" customHeight="1" x14ac:dyDescent="0.2">
      <c r="A22" s="125" t="s">
        <v>46</v>
      </c>
      <c r="B22" s="4"/>
      <c r="C22" s="5"/>
      <c r="D22" s="29">
        <v>2353</v>
      </c>
      <c r="E22" s="127" t="s">
        <v>31</v>
      </c>
      <c r="F22" s="129" t="s">
        <v>32</v>
      </c>
      <c r="G22" s="4">
        <v>2023</v>
      </c>
      <c r="H22" s="3" t="s">
        <v>47</v>
      </c>
      <c r="I22" s="128" t="s">
        <v>34</v>
      </c>
      <c r="J22" s="131">
        <v>9185</v>
      </c>
      <c r="K22" s="13">
        <v>2023</v>
      </c>
      <c r="L22" s="13" t="e">
        <f>#REF!-K22</f>
        <v>#REF!</v>
      </c>
      <c r="M22" s="13"/>
      <c r="N22" s="34"/>
      <c r="O22" s="23"/>
      <c r="P22" s="16"/>
      <c r="Q22" s="16"/>
      <c r="R22" s="16"/>
      <c r="S22" s="23"/>
      <c r="T22" s="16"/>
      <c r="U22" s="16"/>
      <c r="V22" s="16"/>
      <c r="W22" s="16"/>
      <c r="X22" s="49"/>
      <c r="Y22" s="49"/>
      <c r="Z22" s="49"/>
      <c r="AA22" s="130" t="s">
        <v>35</v>
      </c>
      <c r="AB22" s="81"/>
      <c r="AC22" s="138"/>
      <c r="AD22" s="138"/>
      <c r="AE22" s="138"/>
      <c r="AF22" s="139">
        <v>0</v>
      </c>
    </row>
    <row r="23" spans="1:32" ht="12.75" hidden="1" customHeight="1" x14ac:dyDescent="0.2">
      <c r="A23" s="125" t="s">
        <v>48</v>
      </c>
      <c r="B23" s="4"/>
      <c r="C23" s="5"/>
      <c r="D23" s="29">
        <v>2355</v>
      </c>
      <c r="E23" s="127" t="s">
        <v>31</v>
      </c>
      <c r="F23" s="129" t="s">
        <v>32</v>
      </c>
      <c r="G23" s="4">
        <v>2023</v>
      </c>
      <c r="H23" s="3" t="s">
        <v>49</v>
      </c>
      <c r="I23" s="128" t="s">
        <v>34</v>
      </c>
      <c r="J23" s="131">
        <v>7641</v>
      </c>
      <c r="K23" s="13">
        <v>2023</v>
      </c>
      <c r="L23" s="13" t="e">
        <f>#REF!-K23</f>
        <v>#REF!</v>
      </c>
      <c r="M23" s="13"/>
      <c r="N23" s="66"/>
      <c r="O23" s="23"/>
      <c r="P23" s="16"/>
      <c r="Q23" s="16"/>
      <c r="R23" s="16"/>
      <c r="S23" s="23"/>
      <c r="T23" s="16"/>
      <c r="U23" s="16"/>
      <c r="V23" s="16"/>
      <c r="W23" s="16"/>
      <c r="X23" s="49"/>
      <c r="Y23" s="49"/>
      <c r="Z23" s="49"/>
      <c r="AA23" s="130" t="s">
        <v>35</v>
      </c>
      <c r="AB23" s="81"/>
      <c r="AC23" s="138"/>
      <c r="AD23" s="138"/>
      <c r="AE23" s="138"/>
      <c r="AF23" s="139">
        <v>0</v>
      </c>
    </row>
    <row r="24" spans="1:32" ht="12.75" hidden="1" customHeight="1" x14ac:dyDescent="0.2">
      <c r="A24" s="125" t="s">
        <v>50</v>
      </c>
      <c r="B24" s="4"/>
      <c r="C24" s="5"/>
      <c r="D24" s="29">
        <v>2358</v>
      </c>
      <c r="E24" s="127" t="s">
        <v>31</v>
      </c>
      <c r="F24" s="129" t="s">
        <v>32</v>
      </c>
      <c r="G24" s="4">
        <v>2023</v>
      </c>
      <c r="H24" s="3" t="s">
        <v>51</v>
      </c>
      <c r="I24" s="128" t="s">
        <v>34</v>
      </c>
      <c r="J24" s="131">
        <v>8430</v>
      </c>
      <c r="K24" s="13">
        <v>2023</v>
      </c>
      <c r="L24" s="13" t="e">
        <f>#REF!-K24</f>
        <v>#REF!</v>
      </c>
      <c r="M24" s="13"/>
      <c r="N24" s="24"/>
      <c r="O24" s="23"/>
      <c r="P24" s="16"/>
      <c r="Q24" s="16"/>
      <c r="R24" s="16"/>
      <c r="S24" s="23"/>
      <c r="T24" s="16"/>
      <c r="U24" s="16"/>
      <c r="V24" s="16"/>
      <c r="W24" s="16"/>
      <c r="X24" s="49"/>
      <c r="Y24" s="49"/>
      <c r="Z24" s="49"/>
      <c r="AA24" s="130" t="s">
        <v>35</v>
      </c>
      <c r="AB24" s="81"/>
      <c r="AC24" s="138"/>
      <c r="AD24" s="138"/>
      <c r="AE24" s="138"/>
      <c r="AF24" s="139">
        <v>0</v>
      </c>
    </row>
    <row r="25" spans="1:32" ht="12.75" hidden="1" customHeight="1" x14ac:dyDescent="0.2">
      <c r="A25" s="125" t="s">
        <v>52</v>
      </c>
      <c r="B25" s="4"/>
      <c r="C25" s="5"/>
      <c r="D25" s="29">
        <v>2359</v>
      </c>
      <c r="E25" s="127" t="s">
        <v>31</v>
      </c>
      <c r="F25" s="129" t="s">
        <v>32</v>
      </c>
      <c r="G25" s="4">
        <v>2023</v>
      </c>
      <c r="H25" s="3" t="s">
        <v>53</v>
      </c>
      <c r="I25" s="128" t="s">
        <v>34</v>
      </c>
      <c r="J25" s="131">
        <v>4680</v>
      </c>
      <c r="K25" s="13">
        <v>2023</v>
      </c>
      <c r="L25" s="13" t="e">
        <f>#REF!-K25</f>
        <v>#REF!</v>
      </c>
      <c r="M25" s="13"/>
      <c r="N25" s="24"/>
      <c r="O25" s="23"/>
      <c r="P25" s="16"/>
      <c r="Q25" s="16"/>
      <c r="R25" s="16"/>
      <c r="S25" s="23"/>
      <c r="T25" s="16"/>
      <c r="U25" s="16"/>
      <c r="V25" s="16"/>
      <c r="W25" s="16"/>
      <c r="X25" s="49"/>
      <c r="Y25" s="49"/>
      <c r="Z25" s="49"/>
      <c r="AA25" s="130" t="s">
        <v>35</v>
      </c>
      <c r="AB25" s="81"/>
      <c r="AC25" s="138"/>
      <c r="AD25" s="138"/>
      <c r="AE25" s="138"/>
      <c r="AF25" s="139">
        <v>0</v>
      </c>
    </row>
    <row r="26" spans="1:32" ht="12.75" hidden="1" customHeight="1" x14ac:dyDescent="0.2">
      <c r="A26" s="125" t="s">
        <v>54</v>
      </c>
      <c r="B26" s="4"/>
      <c r="C26" s="5"/>
      <c r="D26" s="29">
        <v>2360</v>
      </c>
      <c r="E26" s="127" t="s">
        <v>31</v>
      </c>
      <c r="F26" s="129" t="s">
        <v>32</v>
      </c>
      <c r="G26" s="4">
        <v>2023</v>
      </c>
      <c r="H26" s="3" t="s">
        <v>55</v>
      </c>
      <c r="I26" s="128" t="s">
        <v>34</v>
      </c>
      <c r="J26" s="131">
        <v>4792</v>
      </c>
      <c r="K26" s="13">
        <v>2023</v>
      </c>
      <c r="L26" s="13" t="e">
        <f>#REF!-K26</f>
        <v>#REF!</v>
      </c>
      <c r="M26" s="13"/>
      <c r="N26" s="24"/>
      <c r="O26" s="23"/>
      <c r="P26" s="16"/>
      <c r="Q26" s="16"/>
      <c r="R26" s="16"/>
      <c r="S26" s="23"/>
      <c r="T26" s="16"/>
      <c r="U26" s="16"/>
      <c r="V26" s="16"/>
      <c r="W26" s="16"/>
      <c r="X26" s="49"/>
      <c r="Y26" s="49"/>
      <c r="Z26" s="49"/>
      <c r="AA26" s="130" t="s">
        <v>35</v>
      </c>
      <c r="AB26" s="81"/>
      <c r="AC26" s="138"/>
      <c r="AD26" s="138"/>
      <c r="AE26" s="138"/>
      <c r="AF26" s="139">
        <v>0</v>
      </c>
    </row>
    <row r="27" spans="1:32" ht="12.75" hidden="1" customHeight="1" x14ac:dyDescent="0.2">
      <c r="A27" s="125" t="s">
        <v>56</v>
      </c>
      <c r="B27" s="4"/>
      <c r="C27" s="5"/>
      <c r="D27" s="29">
        <v>2361</v>
      </c>
      <c r="E27" s="127" t="s">
        <v>31</v>
      </c>
      <c r="F27" s="129" t="s">
        <v>32</v>
      </c>
      <c r="G27" s="4">
        <v>2023</v>
      </c>
      <c r="H27" s="3" t="s">
        <v>57</v>
      </c>
      <c r="I27" s="128" t="s">
        <v>34</v>
      </c>
      <c r="J27" s="131">
        <v>4823</v>
      </c>
      <c r="K27" s="13">
        <v>2023</v>
      </c>
      <c r="L27" s="13" t="e">
        <f>#REF!-K27</f>
        <v>#REF!</v>
      </c>
      <c r="M27" s="13"/>
      <c r="N27" s="24"/>
      <c r="O27" s="23"/>
      <c r="P27" s="16"/>
      <c r="Q27" s="16"/>
      <c r="R27" s="16"/>
      <c r="S27" s="23"/>
      <c r="T27" s="16"/>
      <c r="U27" s="16"/>
      <c r="V27" s="16"/>
      <c r="W27" s="16"/>
      <c r="X27" s="49"/>
      <c r="Y27" s="49"/>
      <c r="Z27" s="49"/>
      <c r="AA27" s="130" t="s">
        <v>35</v>
      </c>
      <c r="AB27" s="81"/>
      <c r="AC27" s="138"/>
      <c r="AD27" s="138"/>
      <c r="AE27" s="138"/>
      <c r="AF27" s="139">
        <v>0</v>
      </c>
    </row>
    <row r="28" spans="1:32" ht="12.75" hidden="1" customHeight="1" x14ac:dyDescent="0.2">
      <c r="A28" s="125" t="s">
        <v>58</v>
      </c>
      <c r="B28" s="4"/>
      <c r="C28" s="5"/>
      <c r="D28" s="29">
        <v>2362</v>
      </c>
      <c r="E28" s="127" t="s">
        <v>31</v>
      </c>
      <c r="F28" s="129" t="s">
        <v>32</v>
      </c>
      <c r="G28" s="4">
        <v>2023</v>
      </c>
      <c r="H28" s="3" t="s">
        <v>59</v>
      </c>
      <c r="I28" s="128" t="s">
        <v>34</v>
      </c>
      <c r="J28" s="131">
        <v>3072</v>
      </c>
      <c r="K28" s="13">
        <v>2023</v>
      </c>
      <c r="L28" s="13" t="e">
        <f>#REF!-K28</f>
        <v>#REF!</v>
      </c>
      <c r="M28" s="13"/>
      <c r="N28" s="24"/>
      <c r="O28" s="23"/>
      <c r="P28" s="16"/>
      <c r="Q28" s="16"/>
      <c r="R28" s="16"/>
      <c r="S28" s="23"/>
      <c r="T28" s="16"/>
      <c r="U28" s="16"/>
      <c r="V28" s="16"/>
      <c r="W28" s="16"/>
      <c r="X28" s="49"/>
      <c r="Y28" s="49"/>
      <c r="Z28" s="49"/>
      <c r="AA28" s="130" t="s">
        <v>35</v>
      </c>
      <c r="AB28" s="81"/>
      <c r="AC28" s="138"/>
      <c r="AD28" s="138"/>
      <c r="AE28" s="138"/>
      <c r="AF28" s="139">
        <v>0</v>
      </c>
    </row>
    <row r="29" spans="1:32" ht="12.75" hidden="1" customHeight="1" x14ac:dyDescent="0.2">
      <c r="A29" s="125" t="s">
        <v>60</v>
      </c>
      <c r="B29" s="4"/>
      <c r="C29" s="5"/>
      <c r="D29" s="29">
        <v>2363</v>
      </c>
      <c r="E29" s="127" t="s">
        <v>31</v>
      </c>
      <c r="F29" s="129" t="s">
        <v>32</v>
      </c>
      <c r="G29" s="4">
        <v>2023</v>
      </c>
      <c r="H29" s="3" t="s">
        <v>61</v>
      </c>
      <c r="I29" s="128" t="s">
        <v>34</v>
      </c>
      <c r="J29" s="131">
        <v>1928</v>
      </c>
      <c r="K29" s="13">
        <v>2023</v>
      </c>
      <c r="L29" s="13" t="e">
        <f>#REF!-K29</f>
        <v>#REF!</v>
      </c>
      <c r="M29" s="13"/>
      <c r="N29" s="24"/>
      <c r="O29" s="23"/>
      <c r="P29" s="16"/>
      <c r="Q29" s="16"/>
      <c r="R29" s="16"/>
      <c r="S29" s="23"/>
      <c r="T29" s="16"/>
      <c r="U29" s="16"/>
      <c r="V29" s="16"/>
      <c r="W29" s="16"/>
      <c r="X29" s="49"/>
      <c r="Y29" s="49"/>
      <c r="Z29" s="49"/>
      <c r="AA29" s="130" t="s">
        <v>35</v>
      </c>
      <c r="AB29" s="81"/>
      <c r="AC29" s="138"/>
      <c r="AD29" s="138"/>
      <c r="AE29" s="138"/>
      <c r="AF29" s="139">
        <v>0</v>
      </c>
    </row>
    <row r="30" spans="1:32" ht="12.75" hidden="1" customHeight="1" x14ac:dyDescent="0.2">
      <c r="A30" s="125"/>
      <c r="B30" s="4"/>
      <c r="C30" s="5"/>
      <c r="D30" s="29"/>
      <c r="E30" s="29"/>
      <c r="F30" s="4"/>
      <c r="G30" s="4"/>
      <c r="H30" s="3"/>
      <c r="I30" s="3"/>
      <c r="J30" s="3"/>
      <c r="K30" s="13"/>
      <c r="L30" s="13"/>
      <c r="M30" s="13"/>
      <c r="N30" s="24"/>
      <c r="O30" s="23"/>
      <c r="P30" s="16"/>
      <c r="Q30" s="16"/>
      <c r="R30" s="16"/>
      <c r="S30" s="23"/>
      <c r="T30" s="16"/>
      <c r="U30" s="16"/>
      <c r="V30" s="16"/>
      <c r="W30" s="16"/>
      <c r="X30" s="49"/>
      <c r="Y30" s="49"/>
      <c r="Z30" s="49"/>
      <c r="AA30" s="130"/>
      <c r="AB30" s="138"/>
      <c r="AC30" s="138"/>
      <c r="AD30" s="138"/>
      <c r="AE30" s="138"/>
      <c r="AF30" s="139">
        <v>0</v>
      </c>
    </row>
    <row r="31" spans="1:32" s="36" customFormat="1" ht="12.75" hidden="1" customHeight="1" x14ac:dyDescent="0.2">
      <c r="A31" s="146"/>
      <c r="B31" s="97"/>
      <c r="C31" s="96"/>
      <c r="D31" s="109"/>
      <c r="E31" s="98"/>
      <c r="F31" s="98"/>
      <c r="G31" s="97"/>
      <c r="H31" s="78"/>
      <c r="I31" s="78"/>
      <c r="J31" s="78"/>
      <c r="K31" s="60"/>
      <c r="L31" s="60"/>
      <c r="M31" s="60"/>
      <c r="N31" s="79"/>
      <c r="O31" s="80"/>
      <c r="P31" s="80"/>
      <c r="Q31" s="80"/>
      <c r="R31" s="80"/>
      <c r="S31" s="80"/>
      <c r="T31" s="80"/>
      <c r="U31" s="80"/>
      <c r="V31" s="80"/>
      <c r="W31" s="80"/>
      <c r="X31" s="80"/>
      <c r="Y31" s="80"/>
      <c r="Z31" s="80"/>
      <c r="AA31" s="147"/>
      <c r="AB31" s="147"/>
      <c r="AC31" s="147"/>
      <c r="AD31" s="147"/>
      <c r="AE31" s="74" t="s">
        <v>62</v>
      </c>
      <c r="AF31" s="116">
        <v>0</v>
      </c>
    </row>
    <row r="32" spans="1:32" ht="12.75" hidden="1" customHeight="1" x14ac:dyDescent="0.2">
      <c r="A32" s="125"/>
      <c r="B32" s="4"/>
      <c r="C32" s="5"/>
      <c r="D32" s="4"/>
      <c r="E32" s="4"/>
      <c r="F32" s="4"/>
      <c r="G32" s="4"/>
      <c r="H32" s="3"/>
      <c r="I32" s="3"/>
      <c r="J32" s="3"/>
      <c r="K32" s="13"/>
      <c r="L32" s="13"/>
      <c r="M32" s="13"/>
      <c r="N32" s="24"/>
      <c r="O32" s="23"/>
      <c r="P32" s="16"/>
      <c r="Q32" s="16"/>
      <c r="R32" s="16"/>
      <c r="S32" s="16"/>
      <c r="T32" s="23"/>
      <c r="U32" s="16"/>
      <c r="V32" s="16"/>
      <c r="W32" s="16"/>
      <c r="X32" s="49"/>
      <c r="Y32" s="49"/>
      <c r="Z32" s="49"/>
      <c r="AA32" s="148"/>
      <c r="AB32" s="138"/>
      <c r="AC32" s="138"/>
      <c r="AD32" s="138"/>
      <c r="AE32" s="138"/>
      <c r="AF32" s="145"/>
    </row>
    <row r="33" spans="1:32" hidden="1" x14ac:dyDescent="0.2">
      <c r="A33" s="94" t="s">
        <v>28</v>
      </c>
      <c r="B33" s="21"/>
      <c r="C33" s="56"/>
      <c r="D33" s="65" t="s">
        <v>63</v>
      </c>
      <c r="E33" s="21"/>
      <c r="F33" s="21"/>
      <c r="G33" s="23"/>
      <c r="H33" s="23"/>
      <c r="I33" s="23"/>
      <c r="J33" s="23"/>
      <c r="K33" s="23"/>
      <c r="L33" s="23"/>
      <c r="M33" s="23"/>
      <c r="N33" s="23"/>
      <c r="O33" s="23"/>
      <c r="P33" s="23"/>
      <c r="Q33" s="23"/>
      <c r="R33" s="23"/>
      <c r="S33" s="31"/>
      <c r="T33" s="31"/>
      <c r="U33" s="31"/>
      <c r="V33" s="31"/>
      <c r="W33" s="31"/>
      <c r="X33" s="31"/>
      <c r="Y33" s="31"/>
      <c r="Z33" s="31"/>
      <c r="AA33" s="148"/>
    </row>
    <row r="34" spans="1:32" hidden="1" x14ac:dyDescent="0.2">
      <c r="A34" s="94"/>
      <c r="B34" s="21"/>
      <c r="C34" s="56"/>
      <c r="D34" s="65" t="s">
        <v>64</v>
      </c>
      <c r="E34" s="21"/>
      <c r="F34" s="135" t="s">
        <v>65</v>
      </c>
      <c r="G34" s="23"/>
      <c r="H34" s="23"/>
      <c r="I34" s="23"/>
      <c r="J34" s="23"/>
      <c r="K34" s="23"/>
      <c r="L34" s="23"/>
      <c r="M34" s="23"/>
      <c r="N34" s="23"/>
      <c r="O34" s="23"/>
      <c r="P34" s="23"/>
      <c r="Q34" s="23"/>
      <c r="R34" s="23"/>
      <c r="S34" s="31"/>
      <c r="T34" s="31"/>
      <c r="U34" s="31"/>
      <c r="V34" s="31"/>
      <c r="W34" s="31"/>
      <c r="X34" s="31"/>
      <c r="Y34" s="31"/>
      <c r="Z34" s="31"/>
      <c r="AA34" s="148"/>
    </row>
    <row r="35" spans="1:32" hidden="1" x14ac:dyDescent="0.2">
      <c r="A35" s="94"/>
      <c r="B35" s="21"/>
      <c r="C35" s="56"/>
      <c r="D35" s="65" t="s">
        <v>66</v>
      </c>
      <c r="E35" s="21"/>
      <c r="F35" s="134" t="s">
        <v>67</v>
      </c>
      <c r="G35" s="23"/>
      <c r="H35" s="23"/>
      <c r="I35" s="23"/>
      <c r="J35" s="23"/>
      <c r="K35" s="23"/>
      <c r="L35" s="23"/>
      <c r="M35" s="23"/>
      <c r="N35" s="23"/>
      <c r="O35" s="23"/>
      <c r="P35" s="23"/>
      <c r="Q35" s="23"/>
      <c r="R35" s="23"/>
      <c r="S35" s="31"/>
      <c r="T35" s="31"/>
      <c r="U35" s="31"/>
      <c r="V35" s="31"/>
      <c r="W35" s="31"/>
      <c r="X35" s="31"/>
      <c r="Y35" s="31"/>
      <c r="Z35" s="31"/>
      <c r="AA35" s="148"/>
    </row>
    <row r="36" spans="1:32" ht="12" hidden="1" customHeight="1" x14ac:dyDescent="0.2">
      <c r="A36" s="125" t="s">
        <v>30</v>
      </c>
      <c r="B36" s="4"/>
      <c r="C36" s="5"/>
      <c r="D36" s="132" t="s">
        <v>68</v>
      </c>
      <c r="E36" s="4"/>
      <c r="F36" s="4"/>
      <c r="G36" s="4"/>
      <c r="H36" s="3"/>
      <c r="I36" s="3"/>
      <c r="J36" s="3"/>
      <c r="K36" s="54"/>
      <c r="L36" s="13"/>
      <c r="M36" s="13"/>
      <c r="N36" s="24"/>
      <c r="O36" s="23"/>
      <c r="P36" s="16"/>
      <c r="Q36" s="16"/>
      <c r="R36" s="16"/>
      <c r="S36" s="23"/>
      <c r="T36" s="16"/>
      <c r="U36" s="16"/>
      <c r="V36" s="16"/>
      <c r="W36" s="16"/>
      <c r="X36" s="49"/>
      <c r="Y36" s="49"/>
      <c r="Z36" s="49"/>
      <c r="AA36" s="128" t="s">
        <v>69</v>
      </c>
      <c r="AB36" s="140"/>
      <c r="AC36" s="138"/>
      <c r="AD36" s="138"/>
      <c r="AE36" s="138"/>
      <c r="AF36" s="139">
        <v>118206.09000000001</v>
      </c>
    </row>
    <row r="37" spans="1:32" ht="12.75" hidden="1" customHeight="1" x14ac:dyDescent="0.2">
      <c r="A37" s="125" t="s">
        <v>36</v>
      </c>
      <c r="B37" s="4"/>
      <c r="C37" s="5"/>
      <c r="D37" s="132" t="s">
        <v>68</v>
      </c>
      <c r="E37" s="4"/>
      <c r="F37" s="4"/>
      <c r="G37" s="4"/>
      <c r="H37" s="3"/>
      <c r="I37" s="3"/>
      <c r="J37" s="3"/>
      <c r="K37" s="54"/>
      <c r="L37" s="13"/>
      <c r="M37" s="13"/>
      <c r="N37" s="24"/>
      <c r="O37" s="23"/>
      <c r="P37" s="16"/>
      <c r="Q37" s="16"/>
      <c r="R37" s="16"/>
      <c r="S37" s="23"/>
      <c r="T37" s="16"/>
      <c r="U37" s="16"/>
      <c r="V37" s="16"/>
      <c r="W37" s="16"/>
      <c r="X37" s="49"/>
      <c r="Y37" s="49"/>
      <c r="Z37" s="49"/>
      <c r="AA37" s="128" t="s">
        <v>69</v>
      </c>
      <c r="AB37" s="140"/>
      <c r="AC37" s="138"/>
      <c r="AD37" s="138"/>
      <c r="AE37" s="138"/>
      <c r="AF37" s="139">
        <v>118206.09000000001</v>
      </c>
    </row>
    <row r="38" spans="1:32" ht="12.75" hidden="1" customHeight="1" x14ac:dyDescent="0.2">
      <c r="A38" s="125" t="s">
        <v>38</v>
      </c>
      <c r="B38" s="4"/>
      <c r="C38" s="5"/>
      <c r="D38" s="132" t="s">
        <v>68</v>
      </c>
      <c r="E38" s="4"/>
      <c r="F38" s="4"/>
      <c r="G38" s="4"/>
      <c r="H38" s="3"/>
      <c r="I38" s="3"/>
      <c r="J38" s="3"/>
      <c r="K38" s="54"/>
      <c r="L38" s="13"/>
      <c r="M38" s="13"/>
      <c r="N38" s="24"/>
      <c r="O38" s="23"/>
      <c r="P38" s="16"/>
      <c r="Q38" s="16"/>
      <c r="R38" s="16"/>
      <c r="S38" s="23"/>
      <c r="T38" s="16"/>
      <c r="U38" s="16"/>
      <c r="V38" s="16"/>
      <c r="W38" s="16"/>
      <c r="X38" s="49"/>
      <c r="Y38" s="49"/>
      <c r="Z38" s="49"/>
      <c r="AA38" s="128" t="s">
        <v>69</v>
      </c>
      <c r="AB38" s="140"/>
      <c r="AC38" s="138"/>
      <c r="AD38" s="138"/>
      <c r="AE38" s="138"/>
      <c r="AF38" s="139">
        <v>118206.09000000001</v>
      </c>
    </row>
    <row r="39" spans="1:32" ht="12.75" hidden="1" customHeight="1" x14ac:dyDescent="0.2">
      <c r="A39" s="125" t="s">
        <v>40</v>
      </c>
      <c r="B39" s="4"/>
      <c r="C39" s="5"/>
      <c r="D39" s="132" t="s">
        <v>68</v>
      </c>
      <c r="E39" s="4"/>
      <c r="F39" s="4"/>
      <c r="G39" s="4"/>
      <c r="H39" s="3"/>
      <c r="I39" s="3"/>
      <c r="J39" s="3"/>
      <c r="K39" s="54"/>
      <c r="L39" s="13"/>
      <c r="M39" s="13"/>
      <c r="N39" s="24"/>
      <c r="O39" s="23"/>
      <c r="P39" s="16"/>
      <c r="Q39" s="16"/>
      <c r="R39" s="16"/>
      <c r="S39" s="23"/>
      <c r="T39" s="16"/>
      <c r="U39" s="16"/>
      <c r="V39" s="16"/>
      <c r="W39" s="16"/>
      <c r="X39" s="49"/>
      <c r="Y39" s="49"/>
      <c r="Z39" s="49"/>
      <c r="AA39" s="128" t="s">
        <v>69</v>
      </c>
      <c r="AB39" s="140"/>
      <c r="AC39" s="138"/>
      <c r="AD39" s="138"/>
      <c r="AE39" s="138"/>
      <c r="AF39" s="139">
        <v>118206.09000000001</v>
      </c>
    </row>
    <row r="40" spans="1:32" ht="12.75" hidden="1" customHeight="1" x14ac:dyDescent="0.2">
      <c r="A40" s="125" t="s">
        <v>42</v>
      </c>
      <c r="B40" s="4"/>
      <c r="C40" s="5"/>
      <c r="D40" s="132" t="s">
        <v>68</v>
      </c>
      <c r="E40" s="4"/>
      <c r="F40" s="4"/>
      <c r="G40" s="4"/>
      <c r="H40" s="3"/>
      <c r="I40" s="3"/>
      <c r="J40" s="3"/>
      <c r="K40" s="54"/>
      <c r="L40" s="13"/>
      <c r="M40" s="13"/>
      <c r="N40" s="24"/>
      <c r="O40" s="23"/>
      <c r="P40" s="16"/>
      <c r="Q40" s="16"/>
      <c r="R40" s="16"/>
      <c r="S40" s="23"/>
      <c r="T40" s="16"/>
      <c r="U40" s="16"/>
      <c r="V40" s="16"/>
      <c r="W40" s="16"/>
      <c r="X40" s="49"/>
      <c r="Y40" s="49"/>
      <c r="Z40" s="49"/>
      <c r="AA40" s="128" t="s">
        <v>69</v>
      </c>
      <c r="AB40" s="140"/>
      <c r="AC40" s="138"/>
      <c r="AD40" s="138"/>
      <c r="AE40" s="138"/>
      <c r="AF40" s="139">
        <v>118206.09000000001</v>
      </c>
    </row>
    <row r="41" spans="1:32" ht="12.75" hidden="1" customHeight="1" x14ac:dyDescent="0.2">
      <c r="A41" s="125" t="s">
        <v>44</v>
      </c>
      <c r="B41" s="4"/>
      <c r="C41" s="5"/>
      <c r="D41" s="132" t="s">
        <v>68</v>
      </c>
      <c r="E41" s="4"/>
      <c r="F41" s="4"/>
      <c r="G41" s="4"/>
      <c r="H41" s="3"/>
      <c r="I41" s="3"/>
      <c r="J41" s="3"/>
      <c r="K41" s="54"/>
      <c r="L41" s="13"/>
      <c r="M41" s="13"/>
      <c r="N41" s="24"/>
      <c r="O41" s="23"/>
      <c r="P41" s="16"/>
      <c r="Q41" s="16"/>
      <c r="R41" s="16"/>
      <c r="S41" s="16"/>
      <c r="T41" s="16"/>
      <c r="U41" s="16"/>
      <c r="V41" s="16"/>
      <c r="W41" s="16"/>
      <c r="X41" s="16"/>
      <c r="Y41" s="16"/>
      <c r="Z41" s="16"/>
      <c r="AA41" s="128" t="s">
        <v>69</v>
      </c>
      <c r="AB41" s="140"/>
      <c r="AC41" s="138"/>
      <c r="AD41" s="138"/>
      <c r="AE41" s="138"/>
      <c r="AF41" s="139">
        <v>80969.55</v>
      </c>
    </row>
    <row r="42" spans="1:32" ht="12.75" hidden="1" customHeight="1" x14ac:dyDescent="0.2">
      <c r="A42" s="125"/>
      <c r="B42" s="4"/>
      <c r="C42" s="5"/>
      <c r="D42" s="132"/>
      <c r="E42" s="4"/>
      <c r="F42" s="4"/>
      <c r="G42" s="4"/>
      <c r="H42" s="3"/>
      <c r="I42" s="3"/>
      <c r="J42" s="3"/>
      <c r="K42" s="54"/>
      <c r="L42" s="13"/>
      <c r="M42" s="13"/>
      <c r="N42" s="24"/>
      <c r="O42" s="23"/>
      <c r="P42" s="16"/>
      <c r="Q42" s="16"/>
      <c r="R42" s="16"/>
      <c r="S42" s="16"/>
      <c r="T42" s="16"/>
      <c r="U42" s="16"/>
      <c r="V42" s="16"/>
      <c r="W42" s="16"/>
      <c r="X42" s="16"/>
      <c r="Y42" s="16"/>
      <c r="Z42" s="16"/>
      <c r="AA42" s="130" t="s">
        <v>70</v>
      </c>
      <c r="AB42" s="141"/>
      <c r="AC42" s="138"/>
      <c r="AD42" s="138"/>
      <c r="AE42" s="138"/>
      <c r="AF42" s="139">
        <v>0</v>
      </c>
    </row>
    <row r="43" spans="1:32" ht="12.75" hidden="1" customHeight="1" x14ac:dyDescent="0.2">
      <c r="A43" s="125" t="s">
        <v>46</v>
      </c>
      <c r="B43" s="4"/>
      <c r="C43" s="5"/>
      <c r="D43" s="132" t="s">
        <v>68</v>
      </c>
      <c r="E43" s="4"/>
      <c r="F43" s="4"/>
      <c r="G43" s="4"/>
      <c r="H43" s="3"/>
      <c r="I43" s="3"/>
      <c r="J43" s="3"/>
      <c r="K43" s="54"/>
      <c r="L43" s="13"/>
      <c r="M43" s="13"/>
      <c r="N43" s="24"/>
      <c r="O43" s="23"/>
      <c r="P43" s="16"/>
      <c r="Q43" s="16"/>
      <c r="R43" s="16"/>
      <c r="S43" s="16"/>
      <c r="T43" s="16"/>
      <c r="U43" s="16"/>
      <c r="V43" s="16"/>
      <c r="W43" s="16"/>
      <c r="X43" s="16"/>
      <c r="Y43" s="16"/>
      <c r="Z43" s="16"/>
      <c r="AA43" s="130" t="s">
        <v>70</v>
      </c>
      <c r="AB43" s="138"/>
      <c r="AC43" s="138"/>
      <c r="AD43" s="138"/>
      <c r="AE43" s="138"/>
      <c r="AF43" s="139">
        <v>0</v>
      </c>
    </row>
    <row r="44" spans="1:32" ht="12.75" hidden="1" customHeight="1" x14ac:dyDescent="0.2">
      <c r="A44" s="125"/>
      <c r="B44" s="4"/>
      <c r="C44" s="5"/>
      <c r="D44" s="4"/>
      <c r="E44" s="4"/>
      <c r="F44" s="4"/>
      <c r="G44" s="4"/>
      <c r="H44" s="3"/>
      <c r="I44" s="3"/>
      <c r="J44" s="3"/>
      <c r="K44" s="54"/>
      <c r="L44" s="13"/>
      <c r="M44" s="13"/>
      <c r="N44" s="24"/>
      <c r="O44" s="23"/>
      <c r="P44" s="16"/>
      <c r="Q44" s="16"/>
      <c r="R44" s="16"/>
      <c r="S44" s="16"/>
      <c r="T44" s="23"/>
      <c r="U44" s="16"/>
      <c r="V44" s="16"/>
      <c r="W44" s="16"/>
      <c r="X44" s="49"/>
      <c r="Y44" s="49"/>
      <c r="Z44" s="49"/>
      <c r="AA44" s="130"/>
      <c r="AB44" s="45"/>
      <c r="AC44" s="45"/>
      <c r="AD44" s="45"/>
      <c r="AE44" s="45"/>
      <c r="AF44" s="139">
        <v>0</v>
      </c>
    </row>
    <row r="45" spans="1:32" s="36" customFormat="1" ht="12.75" hidden="1" customHeight="1" x14ac:dyDescent="0.2">
      <c r="A45" s="146"/>
      <c r="B45" s="97"/>
      <c r="C45" s="96"/>
      <c r="D45" s="109"/>
      <c r="E45" s="98"/>
      <c r="F45" s="98"/>
      <c r="G45" s="97"/>
      <c r="H45" s="78"/>
      <c r="I45" s="78"/>
      <c r="J45" s="78"/>
      <c r="K45" s="60"/>
      <c r="L45" s="60"/>
      <c r="M45" s="60"/>
      <c r="N45" s="79"/>
      <c r="O45" s="80"/>
      <c r="P45" s="80"/>
      <c r="Q45" s="80"/>
      <c r="R45" s="80"/>
      <c r="S45" s="80"/>
      <c r="T45" s="80"/>
      <c r="U45" s="80"/>
      <c r="V45" s="80"/>
      <c r="W45" s="80"/>
      <c r="X45" s="80"/>
      <c r="Y45" s="80"/>
      <c r="Z45" s="80"/>
      <c r="AA45" s="147"/>
      <c r="AB45" s="147"/>
      <c r="AC45" s="147"/>
      <c r="AD45" s="147"/>
      <c r="AE45" s="74" t="s">
        <v>71</v>
      </c>
      <c r="AF45" s="75">
        <v>672000.00000000012</v>
      </c>
    </row>
    <row r="46" spans="1:32" s="36" customFormat="1" ht="12.75" hidden="1" customHeight="1" x14ac:dyDescent="0.2">
      <c r="A46" s="29"/>
      <c r="B46" s="29"/>
      <c r="C46" s="99"/>
      <c r="D46" s="29"/>
      <c r="E46" s="29"/>
      <c r="F46" s="29"/>
      <c r="G46" s="29"/>
      <c r="H46" s="95"/>
      <c r="I46" s="95"/>
      <c r="J46" s="95"/>
      <c r="K46" s="54"/>
      <c r="L46" s="54"/>
      <c r="M46" s="54"/>
      <c r="N46" s="100"/>
      <c r="O46" s="23"/>
      <c r="P46" s="23"/>
      <c r="Q46" s="23"/>
      <c r="R46" s="23"/>
      <c r="S46" s="23"/>
      <c r="T46" s="23"/>
      <c r="U46" s="23"/>
      <c r="V46" s="23"/>
      <c r="W46" s="23"/>
      <c r="X46" s="23"/>
      <c r="Y46" s="23"/>
      <c r="Z46" s="23"/>
      <c r="AA46" s="144"/>
      <c r="AB46" s="144"/>
      <c r="AC46" s="144"/>
      <c r="AD46" s="144"/>
      <c r="AE46" s="144"/>
      <c r="AF46" s="145"/>
    </row>
    <row r="47" spans="1:32" s="36" customFormat="1" ht="12.75" hidden="1" customHeight="1" x14ac:dyDescent="0.2">
      <c r="A47" s="103" t="s">
        <v>28</v>
      </c>
      <c r="B47" s="104"/>
      <c r="C47" s="105"/>
      <c r="D47" s="133" t="s">
        <v>72</v>
      </c>
      <c r="E47" s="106"/>
      <c r="F47" s="29"/>
      <c r="G47" s="106"/>
      <c r="H47" s="107"/>
      <c r="I47" s="107"/>
      <c r="J47" s="107"/>
      <c r="K47" s="54"/>
      <c r="L47" s="54"/>
      <c r="M47" s="54"/>
      <c r="N47" s="108"/>
      <c r="O47" s="23"/>
      <c r="P47" s="23"/>
      <c r="Q47" s="23"/>
      <c r="R47" s="23"/>
      <c r="S47" s="23"/>
      <c r="T47" s="23"/>
      <c r="U47" s="23"/>
      <c r="V47" s="23">
        <v>1</v>
      </c>
      <c r="W47" s="23"/>
      <c r="X47" s="23"/>
      <c r="Y47" s="23"/>
      <c r="Z47" s="23"/>
      <c r="AA47" s="144"/>
      <c r="AB47" s="144"/>
      <c r="AC47" s="144"/>
      <c r="AD47" s="144"/>
      <c r="AE47" s="144"/>
      <c r="AF47" s="145"/>
    </row>
    <row r="48" spans="1:32" ht="12.75" hidden="1" customHeight="1" x14ac:dyDescent="0.2">
      <c r="B48" s="4"/>
      <c r="C48" s="5"/>
      <c r="D48" s="136" t="s">
        <v>73</v>
      </c>
      <c r="E48" s="4"/>
      <c r="F48" s="4"/>
      <c r="G48" s="4"/>
      <c r="H48" s="3"/>
      <c r="I48" s="3"/>
      <c r="J48" s="3"/>
      <c r="K48" s="13"/>
      <c r="L48" s="54"/>
      <c r="M48" s="13"/>
      <c r="N48" s="24"/>
      <c r="O48" s="23"/>
      <c r="P48" s="16"/>
      <c r="Q48" s="16"/>
      <c r="R48" s="16"/>
      <c r="S48" s="16"/>
      <c r="T48" s="16"/>
      <c r="U48" s="23"/>
      <c r="V48" s="16"/>
      <c r="W48" s="16"/>
      <c r="X48" s="49"/>
      <c r="Y48" s="49"/>
      <c r="Z48" s="49"/>
      <c r="AA48" s="148"/>
      <c r="AB48" s="138"/>
      <c r="AC48" s="138"/>
      <c r="AD48" s="138"/>
      <c r="AE48" s="138"/>
      <c r="AF48" s="149"/>
    </row>
    <row r="49" spans="1:33" ht="12.75" hidden="1" customHeight="1" x14ac:dyDescent="0.2">
      <c r="B49" s="4"/>
      <c r="C49" s="5"/>
      <c r="D49" s="65" t="s">
        <v>74</v>
      </c>
      <c r="E49" s="4"/>
      <c r="F49" s="4"/>
      <c r="G49" s="4"/>
      <c r="H49" s="3"/>
      <c r="I49" s="3"/>
      <c r="J49" s="3"/>
      <c r="K49" s="13"/>
      <c r="L49" s="54"/>
      <c r="M49" s="13"/>
      <c r="N49" s="24"/>
      <c r="O49" s="23"/>
      <c r="P49" s="16"/>
      <c r="Q49" s="16"/>
      <c r="R49" s="16"/>
      <c r="S49" s="16"/>
      <c r="T49" s="16"/>
      <c r="U49" s="23"/>
      <c r="V49" s="16"/>
      <c r="W49" s="16"/>
      <c r="X49" s="49"/>
      <c r="Y49" s="49"/>
      <c r="Z49" s="49"/>
      <c r="AA49" s="148"/>
      <c r="AB49" s="151"/>
      <c r="AC49" s="138"/>
      <c r="AD49" s="138"/>
      <c r="AE49" s="138"/>
      <c r="AF49" s="149"/>
    </row>
    <row r="50" spans="1:33" ht="12.75" hidden="1" customHeight="1" x14ac:dyDescent="0.2">
      <c r="A50" s="125" t="s">
        <v>30</v>
      </c>
      <c r="B50" s="4"/>
      <c r="C50" s="5"/>
      <c r="D50" s="132" t="s">
        <v>75</v>
      </c>
      <c r="E50" s="4"/>
      <c r="F50" s="4"/>
      <c r="G50" s="4"/>
      <c r="H50" s="3"/>
      <c r="I50" s="3"/>
      <c r="J50" s="3"/>
      <c r="K50" s="13"/>
      <c r="L50" s="54"/>
      <c r="M50" s="13"/>
      <c r="N50" s="24"/>
      <c r="O50" s="23"/>
      <c r="P50" s="16"/>
      <c r="Q50" s="16"/>
      <c r="R50" s="16"/>
      <c r="S50" s="16"/>
      <c r="T50" s="16"/>
      <c r="U50" s="23"/>
      <c r="V50" s="16"/>
      <c r="W50" s="16"/>
      <c r="X50" s="49"/>
      <c r="Y50" s="49"/>
      <c r="Z50" s="49"/>
      <c r="AA50" s="127" t="s">
        <v>76</v>
      </c>
      <c r="AB50" s="137"/>
      <c r="AC50" s="138"/>
      <c r="AD50" s="138"/>
      <c r="AE50" s="138"/>
      <c r="AF50" s="139">
        <v>143693.6</v>
      </c>
    </row>
    <row r="51" spans="1:33" ht="12.75" hidden="1" customHeight="1" x14ac:dyDescent="0.2">
      <c r="A51" s="125" t="s">
        <v>36</v>
      </c>
      <c r="B51" s="4"/>
      <c r="C51" s="5"/>
      <c r="D51" s="132" t="s">
        <v>75</v>
      </c>
      <c r="E51" s="4"/>
      <c r="F51" s="4"/>
      <c r="G51" s="4"/>
      <c r="H51" s="3"/>
      <c r="I51" s="3"/>
      <c r="J51" s="3"/>
      <c r="K51" s="13"/>
      <c r="L51" s="54"/>
      <c r="M51" s="13"/>
      <c r="N51" s="24"/>
      <c r="O51" s="23"/>
      <c r="P51" s="16"/>
      <c r="Q51" s="16"/>
      <c r="R51" s="16"/>
      <c r="S51" s="16"/>
      <c r="T51" s="16"/>
      <c r="U51" s="23"/>
      <c r="V51" s="16"/>
      <c r="W51" s="16"/>
      <c r="X51" s="49"/>
      <c r="Y51" s="49"/>
      <c r="Z51" s="49"/>
      <c r="AA51" s="127" t="s">
        <v>76</v>
      </c>
      <c r="AB51" s="140"/>
      <c r="AC51" s="138"/>
      <c r="AD51" s="138"/>
      <c r="AE51" s="138"/>
      <c r="AF51" s="139">
        <v>143693.6</v>
      </c>
    </row>
    <row r="52" spans="1:33" ht="12.75" hidden="1" customHeight="1" x14ac:dyDescent="0.2">
      <c r="A52" s="125" t="s">
        <v>38</v>
      </c>
      <c r="B52" s="4"/>
      <c r="C52" s="5"/>
      <c r="D52" s="132" t="s">
        <v>75</v>
      </c>
      <c r="E52" s="4"/>
      <c r="F52" s="4"/>
      <c r="G52" s="4"/>
      <c r="H52" s="3"/>
      <c r="I52" s="3"/>
      <c r="J52" s="3"/>
      <c r="K52" s="13"/>
      <c r="L52" s="54"/>
      <c r="M52" s="13"/>
      <c r="N52" s="24"/>
      <c r="O52" s="23"/>
      <c r="P52" s="16"/>
      <c r="Q52" s="16"/>
      <c r="R52" s="16"/>
      <c r="S52" s="16"/>
      <c r="T52" s="16"/>
      <c r="U52" s="23"/>
      <c r="V52" s="16"/>
      <c r="W52" s="16"/>
      <c r="X52" s="49"/>
      <c r="Y52" s="49"/>
      <c r="Z52" s="49"/>
      <c r="AA52" s="127" t="s">
        <v>76</v>
      </c>
      <c r="AB52" s="140"/>
      <c r="AC52" s="138"/>
      <c r="AD52" s="138"/>
      <c r="AE52" s="138"/>
      <c r="AF52" s="139">
        <v>143693.6</v>
      </c>
    </row>
    <row r="53" spans="1:33" ht="12.75" hidden="1" customHeight="1" x14ac:dyDescent="0.2">
      <c r="A53" s="125" t="s">
        <v>40</v>
      </c>
      <c r="B53" s="4"/>
      <c r="C53" s="5"/>
      <c r="D53" s="132" t="s">
        <v>75</v>
      </c>
      <c r="E53" s="4"/>
      <c r="F53" s="4"/>
      <c r="G53" s="4"/>
      <c r="H53" s="3"/>
      <c r="I53" s="3"/>
      <c r="J53" s="3"/>
      <c r="K53" s="13"/>
      <c r="L53" s="54"/>
      <c r="M53" s="13"/>
      <c r="N53" s="24"/>
      <c r="O53" s="23"/>
      <c r="P53" s="16"/>
      <c r="Q53" s="16"/>
      <c r="R53" s="16"/>
      <c r="S53" s="16"/>
      <c r="T53" s="16"/>
      <c r="U53" s="16"/>
      <c r="V53" s="16"/>
      <c r="W53" s="16"/>
      <c r="X53" s="49"/>
      <c r="Y53" s="49"/>
      <c r="Z53" s="49"/>
      <c r="AA53" s="127" t="s">
        <v>76</v>
      </c>
      <c r="AB53" s="140"/>
      <c r="AC53" s="138"/>
      <c r="AD53" s="138"/>
      <c r="AE53" s="138"/>
      <c r="AF53" s="139">
        <v>143693.6</v>
      </c>
    </row>
    <row r="54" spans="1:33" ht="12.75" hidden="1" customHeight="1" x14ac:dyDescent="0.2">
      <c r="A54" s="125" t="s">
        <v>42</v>
      </c>
      <c r="B54" s="4"/>
      <c r="C54" s="5"/>
      <c r="D54" s="132" t="s">
        <v>75</v>
      </c>
      <c r="E54" s="4"/>
      <c r="F54" s="4"/>
      <c r="G54" s="4"/>
      <c r="H54" s="3"/>
      <c r="I54" s="3"/>
      <c r="J54" s="3"/>
      <c r="K54" s="13"/>
      <c r="L54" s="54"/>
      <c r="M54" s="13"/>
      <c r="N54" s="24"/>
      <c r="O54" s="23"/>
      <c r="P54" s="16"/>
      <c r="Q54" s="16"/>
      <c r="R54" s="16"/>
      <c r="S54" s="16"/>
      <c r="T54" s="16"/>
      <c r="U54" s="16"/>
      <c r="V54" s="16"/>
      <c r="W54" s="16"/>
      <c r="X54" s="49"/>
      <c r="Y54" s="49"/>
      <c r="Z54" s="49"/>
      <c r="AA54" s="127" t="s">
        <v>76</v>
      </c>
      <c r="AB54" s="140"/>
      <c r="AC54" s="138"/>
      <c r="AD54" s="138"/>
      <c r="AE54" s="138"/>
      <c r="AF54" s="139">
        <v>143693.6</v>
      </c>
    </row>
    <row r="55" spans="1:33" ht="12.75" hidden="1" customHeight="1" x14ac:dyDescent="0.2">
      <c r="A55" s="125" t="s">
        <v>44</v>
      </c>
      <c r="B55" s="4"/>
      <c r="C55" s="5"/>
      <c r="D55" s="132" t="s">
        <v>75</v>
      </c>
      <c r="E55" s="4"/>
      <c r="F55" s="4"/>
      <c r="G55" s="4"/>
      <c r="H55" s="3"/>
      <c r="I55" s="3"/>
      <c r="J55" s="3"/>
      <c r="K55" s="13"/>
      <c r="L55" s="54"/>
      <c r="M55" s="13"/>
      <c r="N55" s="24"/>
      <c r="O55" s="23"/>
      <c r="P55" s="16"/>
      <c r="Q55" s="16"/>
      <c r="R55" s="16"/>
      <c r="S55" s="16"/>
      <c r="T55" s="16"/>
      <c r="U55" s="16"/>
      <c r="V55" s="16"/>
      <c r="W55" s="16"/>
      <c r="X55" s="49"/>
      <c r="Y55" s="49"/>
      <c r="Z55" s="49"/>
      <c r="AA55" s="127" t="s">
        <v>76</v>
      </c>
      <c r="AB55" s="140"/>
      <c r="AC55" s="138"/>
      <c r="AD55" s="138"/>
      <c r="AE55" s="138"/>
      <c r="AF55" s="139">
        <v>143693.6</v>
      </c>
    </row>
    <row r="56" spans="1:33" ht="12.75" hidden="1" customHeight="1" x14ac:dyDescent="0.2">
      <c r="A56" s="125" t="s">
        <v>46</v>
      </c>
      <c r="B56" s="4"/>
      <c r="C56" s="5"/>
      <c r="D56" s="132" t="s">
        <v>75</v>
      </c>
      <c r="E56" s="4"/>
      <c r="F56" s="4"/>
      <c r="G56" s="4"/>
      <c r="H56" s="3"/>
      <c r="I56" s="3"/>
      <c r="J56" s="3"/>
      <c r="K56" s="13"/>
      <c r="L56" s="54"/>
      <c r="M56" s="13"/>
      <c r="N56" s="24"/>
      <c r="O56" s="23"/>
      <c r="P56" s="16"/>
      <c r="Q56" s="16"/>
      <c r="R56" s="16"/>
      <c r="S56" s="16"/>
      <c r="T56" s="16"/>
      <c r="U56" s="16"/>
      <c r="V56" s="23"/>
      <c r="W56" s="16"/>
      <c r="X56" s="49"/>
      <c r="Y56" s="49"/>
      <c r="Z56" s="49"/>
      <c r="AA56" s="127" t="s">
        <v>76</v>
      </c>
      <c r="AB56" s="141"/>
      <c r="AC56" s="138"/>
      <c r="AD56" s="138"/>
      <c r="AE56" s="138"/>
      <c r="AF56" s="139">
        <v>143693.6</v>
      </c>
    </row>
    <row r="57" spans="1:33" ht="12.75" hidden="1" customHeight="1" x14ac:dyDescent="0.2">
      <c r="A57" s="125" t="s">
        <v>48</v>
      </c>
      <c r="B57" s="4"/>
      <c r="C57" s="5"/>
      <c r="D57" s="132" t="s">
        <v>75</v>
      </c>
      <c r="E57" s="4"/>
      <c r="F57" s="4"/>
      <c r="G57" s="4"/>
      <c r="H57" s="3"/>
      <c r="I57" s="3"/>
      <c r="J57" s="3"/>
      <c r="K57" s="13"/>
      <c r="L57" s="54"/>
      <c r="M57" s="13"/>
      <c r="N57" s="24"/>
      <c r="O57" s="23"/>
      <c r="P57" s="16"/>
      <c r="Q57" s="16"/>
      <c r="R57" s="16"/>
      <c r="S57" s="16"/>
      <c r="T57" s="16"/>
      <c r="U57" s="16"/>
      <c r="V57" s="23"/>
      <c r="W57" s="16"/>
      <c r="X57" s="49"/>
      <c r="Y57" s="49"/>
      <c r="Z57" s="49"/>
      <c r="AA57" s="127" t="s">
        <v>76</v>
      </c>
      <c r="AB57" s="138"/>
      <c r="AC57" s="138"/>
      <c r="AD57" s="138"/>
      <c r="AE57" s="138"/>
      <c r="AF57" s="139">
        <v>86144.8</v>
      </c>
    </row>
    <row r="58" spans="1:33" ht="12.75" hidden="1" customHeight="1" x14ac:dyDescent="0.2">
      <c r="A58" s="125"/>
      <c r="B58" s="4"/>
      <c r="C58" s="5"/>
      <c r="D58" s="38"/>
      <c r="E58" s="29"/>
      <c r="F58" s="4"/>
      <c r="G58" s="4"/>
      <c r="H58" s="3"/>
      <c r="I58" s="3"/>
      <c r="J58" s="3"/>
      <c r="K58" s="54"/>
      <c r="L58" s="54"/>
      <c r="M58" s="13"/>
      <c r="N58" s="24"/>
      <c r="O58" s="23"/>
      <c r="P58" s="16"/>
      <c r="Q58" s="16"/>
      <c r="R58" s="16"/>
      <c r="S58" s="16"/>
      <c r="T58" s="16"/>
      <c r="U58" s="16"/>
      <c r="V58" s="23"/>
      <c r="W58" s="16"/>
      <c r="X58" s="49"/>
      <c r="Y58" s="49"/>
      <c r="Z58" s="49"/>
      <c r="AA58" s="130" t="s">
        <v>77</v>
      </c>
      <c r="AB58" s="45"/>
      <c r="AC58" s="45"/>
      <c r="AD58" s="45"/>
      <c r="AE58" s="45"/>
      <c r="AF58" s="139">
        <v>0</v>
      </c>
    </row>
    <row r="59" spans="1:33" ht="12.75" hidden="1" customHeight="1" x14ac:dyDescent="0.2">
      <c r="A59" s="125"/>
      <c r="B59" s="4"/>
      <c r="C59" s="5"/>
      <c r="D59" s="38"/>
      <c r="E59" s="29"/>
      <c r="F59" s="4"/>
      <c r="G59" s="4"/>
      <c r="H59" s="3"/>
      <c r="I59" s="3"/>
      <c r="J59" s="3"/>
      <c r="K59" s="54"/>
      <c r="L59" s="54"/>
      <c r="M59" s="13"/>
      <c r="N59" s="24"/>
      <c r="O59" s="23"/>
      <c r="P59" s="16"/>
      <c r="Q59" s="16"/>
      <c r="R59" s="16"/>
      <c r="S59" s="16"/>
      <c r="T59" s="16"/>
      <c r="U59" s="16"/>
      <c r="V59" s="23"/>
      <c r="W59" s="16"/>
      <c r="X59" s="49"/>
      <c r="Y59" s="49"/>
      <c r="Z59" s="49"/>
      <c r="AA59" s="130"/>
      <c r="AB59" s="138"/>
      <c r="AC59" s="138"/>
      <c r="AD59" s="138"/>
      <c r="AE59" s="138"/>
      <c r="AF59" s="139"/>
    </row>
    <row r="60" spans="1:33" s="36" customFormat="1" ht="12.75" hidden="1" customHeight="1" x14ac:dyDescent="0.2">
      <c r="A60" s="146"/>
      <c r="B60" s="97"/>
      <c r="C60" s="96"/>
      <c r="D60" s="109"/>
      <c r="E60" s="98"/>
      <c r="F60" s="98"/>
      <c r="G60" s="97"/>
      <c r="H60" s="78"/>
      <c r="I60" s="78"/>
      <c r="J60" s="78"/>
      <c r="K60" s="60"/>
      <c r="L60" s="60"/>
      <c r="M60" s="60"/>
      <c r="N60" s="79"/>
      <c r="O60" s="80"/>
      <c r="P60" s="80"/>
      <c r="Q60" s="80"/>
      <c r="R60" s="80"/>
      <c r="S60" s="80"/>
      <c r="T60" s="80"/>
      <c r="U60" s="80"/>
      <c r="V60" s="80"/>
      <c r="W60" s="80"/>
      <c r="X60" s="80"/>
      <c r="Y60" s="80"/>
      <c r="Z60" s="80"/>
      <c r="AA60" s="147"/>
      <c r="AB60" s="147"/>
      <c r="AC60" s="147"/>
      <c r="AD60" s="147"/>
      <c r="AE60" s="74" t="s">
        <v>71</v>
      </c>
      <c r="AF60" s="75">
        <v>1092000</v>
      </c>
    </row>
    <row r="61" spans="1:33" ht="12.75" hidden="1" customHeight="1" x14ac:dyDescent="0.2">
      <c r="A61" s="117"/>
      <c r="B61" s="1" t="s">
        <v>1</v>
      </c>
      <c r="C61" s="2" t="s">
        <v>2</v>
      </c>
      <c r="D61" s="117"/>
      <c r="E61" s="117"/>
      <c r="F61" s="117"/>
      <c r="G61" s="117"/>
      <c r="H61" s="117"/>
      <c r="I61" s="117"/>
      <c r="J61" s="117"/>
      <c r="K61" s="15"/>
      <c r="L61" s="15"/>
      <c r="M61" s="15" t="s">
        <v>10</v>
      </c>
      <c r="N61" s="118" t="s">
        <v>11</v>
      </c>
      <c r="O61" s="41" t="s">
        <v>12</v>
      </c>
      <c r="P61" s="41">
        <v>2018</v>
      </c>
      <c r="Q61" s="41">
        <v>2019</v>
      </c>
      <c r="R61" s="41">
        <v>2020</v>
      </c>
      <c r="S61" s="41">
        <v>2021</v>
      </c>
      <c r="T61" s="41">
        <v>2022</v>
      </c>
      <c r="U61" s="41">
        <v>2023</v>
      </c>
      <c r="V61" s="41">
        <v>2024</v>
      </c>
      <c r="W61" s="41">
        <v>2025</v>
      </c>
      <c r="X61" s="41" t="s">
        <v>13</v>
      </c>
      <c r="Y61" s="41" t="s">
        <v>14</v>
      </c>
      <c r="Z61" s="41" t="s">
        <v>15</v>
      </c>
      <c r="AA61" s="117"/>
      <c r="AB61" s="15"/>
      <c r="AC61" s="117"/>
      <c r="AD61" s="15"/>
      <c r="AE61" s="117"/>
      <c r="AF61" s="15"/>
      <c r="AG61" s="43"/>
    </row>
    <row r="62" spans="1:33" s="36" customFormat="1" ht="21" customHeight="1" x14ac:dyDescent="0.2">
      <c r="A62" s="103" t="s">
        <v>28</v>
      </c>
      <c r="B62" s="104"/>
      <c r="C62" s="105"/>
      <c r="D62" s="133" t="s">
        <v>78</v>
      </c>
      <c r="E62" s="106"/>
      <c r="F62" s="29"/>
      <c r="G62" s="106"/>
      <c r="H62" s="107"/>
      <c r="I62" s="107"/>
      <c r="J62" s="107"/>
      <c r="K62" s="54"/>
      <c r="L62" s="54"/>
      <c r="M62" s="54"/>
      <c r="N62" s="108"/>
      <c r="O62" s="23"/>
      <c r="P62" s="23"/>
      <c r="Q62" s="23"/>
      <c r="R62" s="23"/>
      <c r="S62" s="23"/>
      <c r="T62" s="23"/>
      <c r="U62" s="23"/>
      <c r="V62" s="23">
        <v>1</v>
      </c>
      <c r="W62" s="23"/>
      <c r="X62" s="23"/>
      <c r="Y62" s="23"/>
      <c r="Z62" s="23"/>
      <c r="AA62" s="166" t="s">
        <v>16</v>
      </c>
      <c r="AB62" s="167" t="s">
        <v>17</v>
      </c>
      <c r="AC62" s="166" t="s">
        <v>18</v>
      </c>
      <c r="AD62" s="167" t="s">
        <v>19</v>
      </c>
      <c r="AE62" s="166" t="s">
        <v>20</v>
      </c>
      <c r="AF62" s="173" t="s">
        <v>24</v>
      </c>
    </row>
    <row r="63" spans="1:33" ht="12.75" customHeight="1" x14ac:dyDescent="0.2">
      <c r="A63" s="125" t="s">
        <v>30</v>
      </c>
      <c r="B63" s="4"/>
      <c r="C63" s="5"/>
      <c r="D63" s="132" t="s">
        <v>79</v>
      </c>
      <c r="E63" s="4"/>
      <c r="F63" s="4"/>
      <c r="G63" s="4"/>
      <c r="H63" s="3"/>
      <c r="I63" s="3"/>
      <c r="J63" s="3"/>
      <c r="K63" s="13"/>
      <c r="L63" s="54"/>
      <c r="M63" s="13"/>
      <c r="N63" s="24"/>
      <c r="O63" s="23"/>
      <c r="P63" s="16"/>
      <c r="Q63" s="16"/>
      <c r="R63" s="16"/>
      <c r="S63" s="16"/>
      <c r="T63" s="16"/>
      <c r="U63" s="23"/>
      <c r="V63" s="16"/>
      <c r="W63" s="16"/>
      <c r="X63" s="49"/>
      <c r="Y63" s="49"/>
      <c r="Z63" s="49"/>
      <c r="AA63" s="183" t="s">
        <v>80</v>
      </c>
      <c r="AB63" s="137"/>
      <c r="AC63" s="138"/>
      <c r="AD63" s="138"/>
      <c r="AE63" s="138"/>
      <c r="AF63" s="139">
        <v>143693.6</v>
      </c>
    </row>
    <row r="64" spans="1:33" ht="12.75" customHeight="1" x14ac:dyDescent="0.2">
      <c r="A64" s="125" t="s">
        <v>36</v>
      </c>
      <c r="B64" s="4"/>
      <c r="C64" s="5"/>
      <c r="D64" s="132" t="s">
        <v>79</v>
      </c>
      <c r="E64" s="4"/>
      <c r="F64" s="4"/>
      <c r="G64" s="4"/>
      <c r="H64" s="3"/>
      <c r="I64" s="3"/>
      <c r="J64" s="3"/>
      <c r="K64" s="13"/>
      <c r="L64" s="54"/>
      <c r="M64" s="13"/>
      <c r="N64" s="24"/>
      <c r="O64" s="23"/>
      <c r="P64" s="16"/>
      <c r="Q64" s="16"/>
      <c r="R64" s="16"/>
      <c r="S64" s="16"/>
      <c r="T64" s="16"/>
      <c r="U64" s="23"/>
      <c r="V64" s="16"/>
      <c r="W64" s="16"/>
      <c r="X64" s="49"/>
      <c r="Y64" s="49"/>
      <c r="Z64" s="49"/>
      <c r="AA64" s="183" t="s">
        <v>80</v>
      </c>
      <c r="AB64" s="137"/>
      <c r="AC64" s="138"/>
      <c r="AD64" s="138"/>
      <c r="AE64" s="138"/>
      <c r="AF64" s="139">
        <v>143693.6</v>
      </c>
    </row>
    <row r="65" spans="1:32" ht="12.75" customHeight="1" x14ac:dyDescent="0.2">
      <c r="A65" s="125" t="s">
        <v>38</v>
      </c>
      <c r="B65" s="4"/>
      <c r="C65" s="5"/>
      <c r="D65" s="132" t="s">
        <v>79</v>
      </c>
      <c r="E65" s="4"/>
      <c r="F65" s="4"/>
      <c r="G65" s="4"/>
      <c r="H65" s="3"/>
      <c r="I65" s="3"/>
      <c r="J65" s="3"/>
      <c r="K65" s="13"/>
      <c r="L65" s="54"/>
      <c r="M65" s="13"/>
      <c r="N65" s="24"/>
      <c r="O65" s="23"/>
      <c r="P65" s="16"/>
      <c r="Q65" s="16"/>
      <c r="R65" s="16"/>
      <c r="S65" s="16"/>
      <c r="T65" s="16"/>
      <c r="U65" s="23"/>
      <c r="V65" s="16"/>
      <c r="W65" s="16"/>
      <c r="X65" s="49"/>
      <c r="Y65" s="49"/>
      <c r="Z65" s="49"/>
      <c r="AA65" s="183" t="s">
        <v>80</v>
      </c>
      <c r="AB65" s="137"/>
      <c r="AC65" s="138"/>
      <c r="AD65" s="138"/>
      <c r="AE65" s="138"/>
      <c r="AF65" s="139">
        <v>143693.6</v>
      </c>
    </row>
    <row r="66" spans="1:32" ht="12.75" customHeight="1" x14ac:dyDescent="0.2">
      <c r="A66" s="125" t="s">
        <v>40</v>
      </c>
      <c r="B66" s="4"/>
      <c r="C66" s="5"/>
      <c r="D66" s="132" t="s">
        <v>79</v>
      </c>
      <c r="E66" s="4"/>
      <c r="F66" s="4"/>
      <c r="G66" s="4"/>
      <c r="H66" s="3"/>
      <c r="I66" s="3"/>
      <c r="J66" s="3"/>
      <c r="K66" s="13"/>
      <c r="L66" s="54"/>
      <c r="M66" s="13"/>
      <c r="N66" s="24"/>
      <c r="O66" s="23"/>
      <c r="P66" s="16"/>
      <c r="Q66" s="16"/>
      <c r="R66" s="16"/>
      <c r="S66" s="16"/>
      <c r="T66" s="16"/>
      <c r="U66" s="23"/>
      <c r="V66" s="16"/>
      <c r="W66" s="16"/>
      <c r="X66" s="49"/>
      <c r="Y66" s="49"/>
      <c r="Z66" s="49"/>
      <c r="AA66" s="183" t="s">
        <v>80</v>
      </c>
      <c r="AB66" s="137"/>
      <c r="AC66" s="138"/>
      <c r="AD66" s="138"/>
      <c r="AE66" s="138"/>
      <c r="AF66" s="139">
        <v>143693.6</v>
      </c>
    </row>
    <row r="67" spans="1:32" ht="12.75" customHeight="1" x14ac:dyDescent="0.2">
      <c r="A67" s="125" t="s">
        <v>42</v>
      </c>
      <c r="B67" s="4"/>
      <c r="C67" s="5"/>
      <c r="D67" s="132" t="s">
        <v>79</v>
      </c>
      <c r="E67" s="4"/>
      <c r="F67" s="4"/>
      <c r="G67" s="4"/>
      <c r="H67" s="3"/>
      <c r="I67" s="3"/>
      <c r="J67" s="3"/>
      <c r="K67" s="13"/>
      <c r="L67" s="54"/>
      <c r="M67" s="13"/>
      <c r="N67" s="24"/>
      <c r="O67" s="23"/>
      <c r="P67" s="16"/>
      <c r="Q67" s="16"/>
      <c r="R67" s="16"/>
      <c r="S67" s="16"/>
      <c r="T67" s="16"/>
      <c r="U67" s="23"/>
      <c r="V67" s="16"/>
      <c r="W67" s="16"/>
      <c r="X67" s="49"/>
      <c r="Y67" s="49"/>
      <c r="Z67" s="49"/>
      <c r="AA67" s="183" t="s">
        <v>80</v>
      </c>
      <c r="AB67" s="137"/>
      <c r="AC67" s="138"/>
      <c r="AD67" s="138"/>
      <c r="AE67" s="138"/>
      <c r="AF67" s="139">
        <v>143693.6</v>
      </c>
    </row>
    <row r="68" spans="1:32" ht="12.75" customHeight="1" x14ac:dyDescent="0.2">
      <c r="A68" s="125" t="s">
        <v>44</v>
      </c>
      <c r="B68" s="4"/>
      <c r="C68" s="5"/>
      <c r="D68" s="132" t="s">
        <v>79</v>
      </c>
      <c r="E68" s="4"/>
      <c r="F68" s="4"/>
      <c r="G68" s="4"/>
      <c r="H68" s="3"/>
      <c r="I68" s="3"/>
      <c r="J68" s="3"/>
      <c r="K68" s="13"/>
      <c r="L68" s="54"/>
      <c r="M68" s="13"/>
      <c r="N68" s="24"/>
      <c r="O68" s="23"/>
      <c r="P68" s="16"/>
      <c r="Q68" s="16"/>
      <c r="R68" s="16"/>
      <c r="S68" s="16"/>
      <c r="T68" s="16"/>
      <c r="U68" s="23"/>
      <c r="V68" s="16"/>
      <c r="W68" s="16"/>
      <c r="X68" s="49"/>
      <c r="Y68" s="49"/>
      <c r="Z68" s="49"/>
      <c r="AA68" s="183" t="s">
        <v>80</v>
      </c>
      <c r="AB68" s="137"/>
      <c r="AC68" s="138"/>
      <c r="AD68" s="138"/>
      <c r="AE68" s="138"/>
      <c r="AF68" s="139">
        <v>143693.6</v>
      </c>
    </row>
    <row r="69" spans="1:32" ht="12.75" customHeight="1" x14ac:dyDescent="0.2">
      <c r="A69" s="125" t="s">
        <v>46</v>
      </c>
      <c r="B69" s="4"/>
      <c r="C69" s="5"/>
      <c r="D69" s="132" t="s">
        <v>79</v>
      </c>
      <c r="E69" s="4"/>
      <c r="F69" s="4"/>
      <c r="G69" s="4"/>
      <c r="H69" s="3"/>
      <c r="I69" s="3"/>
      <c r="J69" s="3"/>
      <c r="K69" s="13"/>
      <c r="L69" s="54"/>
      <c r="M69" s="13"/>
      <c r="N69" s="24"/>
      <c r="O69" s="23"/>
      <c r="P69" s="16"/>
      <c r="Q69" s="16"/>
      <c r="R69" s="16"/>
      <c r="S69" s="16"/>
      <c r="T69" s="16"/>
      <c r="U69" s="23"/>
      <c r="V69" s="16"/>
      <c r="W69" s="16"/>
      <c r="X69" s="49"/>
      <c r="Y69" s="49"/>
      <c r="Z69" s="49"/>
      <c r="AA69" s="183" t="s">
        <v>80</v>
      </c>
      <c r="AB69" s="137"/>
      <c r="AC69" s="138"/>
      <c r="AD69" s="138"/>
      <c r="AE69" s="138"/>
      <c r="AF69" s="139">
        <v>143693.6</v>
      </c>
    </row>
    <row r="70" spans="1:32" ht="12.75" customHeight="1" x14ac:dyDescent="0.2">
      <c r="A70" s="125" t="s">
        <v>48</v>
      </c>
      <c r="B70" s="4"/>
      <c r="C70" s="5"/>
      <c r="D70" s="132" t="s">
        <v>79</v>
      </c>
      <c r="E70" s="4"/>
      <c r="F70" s="4"/>
      <c r="G70" s="4"/>
      <c r="H70" s="3"/>
      <c r="I70" s="3"/>
      <c r="J70" s="3"/>
      <c r="K70" s="13"/>
      <c r="L70" s="54"/>
      <c r="M70" s="13"/>
      <c r="N70" s="24"/>
      <c r="O70" s="23"/>
      <c r="P70" s="16"/>
      <c r="Q70" s="16"/>
      <c r="R70" s="16"/>
      <c r="S70" s="16"/>
      <c r="T70" s="16"/>
      <c r="U70" s="23"/>
      <c r="V70" s="16"/>
      <c r="W70" s="16"/>
      <c r="X70" s="49"/>
      <c r="Y70" s="49"/>
      <c r="Z70" s="49"/>
      <c r="AA70" s="183" t="s">
        <v>80</v>
      </c>
      <c r="AB70" s="137"/>
      <c r="AC70" s="138"/>
      <c r="AD70" s="138"/>
      <c r="AE70" s="138"/>
      <c r="AF70" s="139">
        <v>143693.6</v>
      </c>
    </row>
    <row r="71" spans="1:32" ht="12.75" customHeight="1" x14ac:dyDescent="0.2">
      <c r="A71" s="125" t="s">
        <v>50</v>
      </c>
      <c r="B71" s="4"/>
      <c r="C71" s="5"/>
      <c r="D71" s="132" t="s">
        <v>79</v>
      </c>
      <c r="E71" s="4"/>
      <c r="F71" s="4"/>
      <c r="G71" s="4"/>
      <c r="H71" s="3"/>
      <c r="I71" s="3"/>
      <c r="J71" s="3"/>
      <c r="K71" s="13"/>
      <c r="L71" s="54"/>
      <c r="M71" s="13"/>
      <c r="N71" s="24"/>
      <c r="O71" s="23"/>
      <c r="P71" s="16"/>
      <c r="Q71" s="16"/>
      <c r="R71" s="16"/>
      <c r="S71" s="16"/>
      <c r="T71" s="16"/>
      <c r="U71" s="23"/>
      <c r="V71" s="16"/>
      <c r="W71" s="16"/>
      <c r="X71" s="49"/>
      <c r="Y71" s="49"/>
      <c r="Z71" s="49"/>
      <c r="AA71" s="183" t="s">
        <v>80</v>
      </c>
      <c r="AB71" s="137"/>
      <c r="AC71" s="138"/>
      <c r="AD71" s="138"/>
      <c r="AE71" s="138"/>
      <c r="AF71" s="139">
        <v>143693.6</v>
      </c>
    </row>
    <row r="72" spans="1:32" ht="12.75" customHeight="1" x14ac:dyDescent="0.2">
      <c r="A72" s="125" t="s">
        <v>52</v>
      </c>
      <c r="B72" s="4"/>
      <c r="C72" s="5"/>
      <c r="D72" s="132" t="s">
        <v>79</v>
      </c>
      <c r="E72" s="4"/>
      <c r="F72" s="4"/>
      <c r="G72" s="4"/>
      <c r="H72" s="3"/>
      <c r="I72" s="3"/>
      <c r="J72" s="3"/>
      <c r="K72" s="13"/>
      <c r="L72" s="54"/>
      <c r="M72" s="13"/>
      <c r="N72" s="24"/>
      <c r="O72" s="23"/>
      <c r="P72" s="16"/>
      <c r="Q72" s="16"/>
      <c r="R72" s="16"/>
      <c r="S72" s="16"/>
      <c r="T72" s="16"/>
      <c r="U72" s="23"/>
      <c r="V72" s="16"/>
      <c r="W72" s="16"/>
      <c r="X72" s="49"/>
      <c r="Y72" s="49"/>
      <c r="Z72" s="49"/>
      <c r="AA72" s="183" t="s">
        <v>80</v>
      </c>
      <c r="AB72" s="137"/>
      <c r="AC72" s="138"/>
      <c r="AD72" s="138"/>
      <c r="AE72" s="138"/>
      <c r="AF72" s="139">
        <v>143693.6</v>
      </c>
    </row>
    <row r="73" spans="1:32" ht="12.75" customHeight="1" x14ac:dyDescent="0.2">
      <c r="A73" s="125"/>
      <c r="B73" s="4"/>
      <c r="C73" s="5"/>
      <c r="D73" s="106"/>
      <c r="E73" s="106"/>
      <c r="F73" s="4"/>
      <c r="G73" s="32"/>
      <c r="H73" s="33"/>
      <c r="I73" s="33"/>
      <c r="J73" s="33"/>
      <c r="K73" s="13"/>
      <c r="L73" s="54"/>
      <c r="M73" s="13"/>
      <c r="N73" s="24"/>
      <c r="O73" s="23"/>
      <c r="P73" s="16"/>
      <c r="Q73" s="16"/>
      <c r="R73" s="16"/>
      <c r="S73" s="16"/>
      <c r="T73" s="16"/>
      <c r="U73" s="16"/>
      <c r="V73" s="23"/>
      <c r="W73" s="16"/>
      <c r="X73" s="49"/>
      <c r="Y73" s="49"/>
      <c r="Z73" s="49"/>
      <c r="AA73" s="181"/>
      <c r="AB73" s="138"/>
      <c r="AC73" s="138"/>
      <c r="AD73" s="138"/>
      <c r="AE73" s="138"/>
      <c r="AF73" s="139"/>
    </row>
    <row r="74" spans="1:32" ht="12.75" customHeight="1" x14ac:dyDescent="0.2">
      <c r="A74" s="125" t="s">
        <v>30</v>
      </c>
      <c r="B74" s="4"/>
      <c r="C74" s="5"/>
      <c r="D74" s="132" t="s">
        <v>81</v>
      </c>
      <c r="E74" s="4"/>
      <c r="F74" s="4"/>
      <c r="G74" s="4"/>
      <c r="H74" s="3"/>
      <c r="I74" s="3"/>
      <c r="J74" s="3"/>
      <c r="K74" s="13"/>
      <c r="L74" s="54"/>
      <c r="M74" s="13"/>
      <c r="N74" s="24"/>
      <c r="O74" s="23"/>
      <c r="P74" s="16"/>
      <c r="Q74" s="16"/>
      <c r="R74" s="16"/>
      <c r="S74" s="16"/>
      <c r="T74" s="16"/>
      <c r="U74" s="23"/>
      <c r="V74" s="16"/>
      <c r="W74" s="16"/>
      <c r="X74" s="49"/>
      <c r="Y74" s="49"/>
      <c r="Z74" s="49"/>
      <c r="AA74" s="183" t="s">
        <v>80</v>
      </c>
      <c r="AB74" s="137"/>
      <c r="AC74" s="138"/>
      <c r="AD74" s="138"/>
      <c r="AE74" s="138"/>
      <c r="AF74" s="139">
        <v>143693.6</v>
      </c>
    </row>
    <row r="75" spans="1:32" ht="12.75" customHeight="1" x14ac:dyDescent="0.2">
      <c r="A75" s="125" t="s">
        <v>36</v>
      </c>
      <c r="B75" s="4"/>
      <c r="C75" s="5"/>
      <c r="D75" s="132" t="s">
        <v>81</v>
      </c>
      <c r="E75" s="4"/>
      <c r="F75" s="4"/>
      <c r="G75" s="4"/>
      <c r="H75" s="3"/>
      <c r="I75" s="3"/>
      <c r="J75" s="3"/>
      <c r="K75" s="13"/>
      <c r="L75" s="54"/>
      <c r="M75" s="13"/>
      <c r="N75" s="24"/>
      <c r="O75" s="23"/>
      <c r="P75" s="16"/>
      <c r="Q75" s="16"/>
      <c r="R75" s="16"/>
      <c r="S75" s="16"/>
      <c r="T75" s="16"/>
      <c r="U75" s="23"/>
      <c r="V75" s="16"/>
      <c r="W75" s="16"/>
      <c r="X75" s="49"/>
      <c r="Y75" s="49"/>
      <c r="Z75" s="49"/>
      <c r="AA75" s="183" t="s">
        <v>80</v>
      </c>
      <c r="AB75" s="137"/>
      <c r="AC75" s="138"/>
      <c r="AD75" s="138"/>
      <c r="AE75" s="138"/>
      <c r="AF75" s="139">
        <v>143693.6</v>
      </c>
    </row>
    <row r="76" spans="1:32" ht="12.75" customHeight="1" x14ac:dyDescent="0.2">
      <c r="A76" s="125" t="s">
        <v>38</v>
      </c>
      <c r="B76" s="4"/>
      <c r="C76" s="5"/>
      <c r="D76" s="132" t="s">
        <v>81</v>
      </c>
      <c r="E76" s="4"/>
      <c r="F76" s="4"/>
      <c r="G76" s="4"/>
      <c r="H76" s="3"/>
      <c r="I76" s="3"/>
      <c r="J76" s="3"/>
      <c r="K76" s="13"/>
      <c r="L76" s="54"/>
      <c r="M76" s="13"/>
      <c r="N76" s="24"/>
      <c r="O76" s="23"/>
      <c r="P76" s="16"/>
      <c r="Q76" s="16"/>
      <c r="R76" s="16"/>
      <c r="S76" s="16"/>
      <c r="T76" s="16"/>
      <c r="U76" s="23"/>
      <c r="V76" s="16"/>
      <c r="W76" s="16"/>
      <c r="X76" s="49"/>
      <c r="Y76" s="49"/>
      <c r="Z76" s="49"/>
      <c r="AA76" s="183" t="s">
        <v>80</v>
      </c>
      <c r="AB76" s="137"/>
      <c r="AC76" s="138"/>
      <c r="AD76" s="138"/>
      <c r="AE76" s="138"/>
      <c r="AF76" s="139">
        <v>143693.6</v>
      </c>
    </row>
    <row r="77" spans="1:32" ht="12.75" customHeight="1" x14ac:dyDescent="0.2">
      <c r="A77" s="125" t="s">
        <v>40</v>
      </c>
      <c r="B77" s="4"/>
      <c r="C77" s="5"/>
      <c r="D77" s="132" t="s">
        <v>81</v>
      </c>
      <c r="E77" s="4"/>
      <c r="F77" s="4"/>
      <c r="G77" s="4"/>
      <c r="H77" s="3"/>
      <c r="I77" s="3"/>
      <c r="J77" s="3"/>
      <c r="K77" s="13"/>
      <c r="L77" s="54"/>
      <c r="M77" s="13"/>
      <c r="N77" s="24"/>
      <c r="O77" s="23"/>
      <c r="P77" s="16"/>
      <c r="Q77" s="16"/>
      <c r="R77" s="16"/>
      <c r="S77" s="16"/>
      <c r="T77" s="16"/>
      <c r="U77" s="23"/>
      <c r="V77" s="16"/>
      <c r="W77" s="16"/>
      <c r="X77" s="49"/>
      <c r="Y77" s="49"/>
      <c r="Z77" s="49"/>
      <c r="AA77" s="183" t="s">
        <v>80</v>
      </c>
      <c r="AB77" s="137"/>
      <c r="AC77" s="138"/>
      <c r="AD77" s="138"/>
      <c r="AE77" s="138"/>
      <c r="AF77" s="139">
        <v>143693.6</v>
      </c>
    </row>
    <row r="78" spans="1:32" ht="12.75" customHeight="1" x14ac:dyDescent="0.2">
      <c r="A78" s="125" t="s">
        <v>42</v>
      </c>
      <c r="B78" s="4"/>
      <c r="C78" s="5"/>
      <c r="D78" s="132" t="s">
        <v>81</v>
      </c>
      <c r="E78" s="4"/>
      <c r="F78" s="4"/>
      <c r="G78" s="4"/>
      <c r="H78" s="3"/>
      <c r="I78" s="3"/>
      <c r="J78" s="3"/>
      <c r="K78" s="13"/>
      <c r="L78" s="54"/>
      <c r="M78" s="13"/>
      <c r="N78" s="24"/>
      <c r="O78" s="23"/>
      <c r="P78" s="16"/>
      <c r="Q78" s="16"/>
      <c r="R78" s="16"/>
      <c r="S78" s="16"/>
      <c r="T78" s="16"/>
      <c r="U78" s="23"/>
      <c r="V78" s="16"/>
      <c r="W78" s="16"/>
      <c r="X78" s="49"/>
      <c r="Y78" s="49"/>
      <c r="Z78" s="49"/>
      <c r="AA78" s="183" t="s">
        <v>80</v>
      </c>
      <c r="AB78" s="137"/>
      <c r="AC78" s="138"/>
      <c r="AD78" s="138"/>
      <c r="AE78" s="138"/>
      <c r="AF78" s="139">
        <v>143693.6</v>
      </c>
    </row>
    <row r="79" spans="1:32" ht="12.75" customHeight="1" x14ac:dyDescent="0.2">
      <c r="A79" s="125" t="s">
        <v>44</v>
      </c>
      <c r="B79" s="4"/>
      <c r="C79" s="5"/>
      <c r="D79" s="132" t="s">
        <v>81</v>
      </c>
      <c r="E79" s="4"/>
      <c r="F79" s="4"/>
      <c r="G79" s="4"/>
      <c r="H79" s="3"/>
      <c r="I79" s="3"/>
      <c r="J79" s="3"/>
      <c r="K79" s="13"/>
      <c r="L79" s="54"/>
      <c r="M79" s="13"/>
      <c r="N79" s="24"/>
      <c r="O79" s="23"/>
      <c r="P79" s="16"/>
      <c r="Q79" s="16"/>
      <c r="R79" s="16"/>
      <c r="S79" s="16"/>
      <c r="T79" s="16"/>
      <c r="U79" s="23"/>
      <c r="V79" s="16"/>
      <c r="W79" s="16"/>
      <c r="X79" s="49"/>
      <c r="Y79" s="49"/>
      <c r="Z79" s="49"/>
      <c r="AA79" s="183" t="s">
        <v>80</v>
      </c>
      <c r="AB79" s="137"/>
      <c r="AC79" s="138"/>
      <c r="AD79" s="138"/>
      <c r="AE79" s="138"/>
      <c r="AF79" s="139">
        <v>136588</v>
      </c>
    </row>
    <row r="80" spans="1:32" ht="12.75" customHeight="1" x14ac:dyDescent="0.2">
      <c r="A80" s="125"/>
      <c r="B80" s="4"/>
      <c r="C80" s="5"/>
      <c r="D80" s="132"/>
      <c r="E80" s="4"/>
      <c r="F80" s="4"/>
      <c r="G80" s="4"/>
      <c r="H80" s="3"/>
      <c r="I80" s="3"/>
      <c r="J80" s="3"/>
      <c r="K80" s="13"/>
      <c r="L80" s="54"/>
      <c r="M80" s="13"/>
      <c r="N80" s="24"/>
      <c r="O80" s="23"/>
      <c r="P80" s="16"/>
      <c r="Q80" s="16"/>
      <c r="R80" s="16"/>
      <c r="S80" s="16"/>
      <c r="T80" s="16"/>
      <c r="U80" s="23"/>
      <c r="V80" s="16"/>
      <c r="W80" s="16"/>
      <c r="X80" s="49"/>
      <c r="Y80" s="49"/>
      <c r="Z80" s="49"/>
      <c r="AA80" s="183" t="s">
        <v>82</v>
      </c>
      <c r="AB80" s="137"/>
      <c r="AC80" s="138"/>
      <c r="AD80" s="138"/>
      <c r="AE80" s="138"/>
      <c r="AF80" s="139">
        <v>7105.6</v>
      </c>
    </row>
    <row r="81" spans="1:32" ht="12.75" customHeight="1" x14ac:dyDescent="0.2">
      <c r="A81" s="125" t="s">
        <v>46</v>
      </c>
      <c r="B81" s="4"/>
      <c r="C81" s="5"/>
      <c r="D81" s="132" t="s">
        <v>81</v>
      </c>
      <c r="E81" s="4"/>
      <c r="F81" s="4"/>
      <c r="G81" s="4"/>
      <c r="H81" s="3"/>
      <c r="I81" s="3"/>
      <c r="J81" s="3"/>
      <c r="K81" s="13"/>
      <c r="L81" s="54"/>
      <c r="M81" s="13"/>
      <c r="N81" s="24"/>
      <c r="O81" s="23"/>
      <c r="P81" s="16"/>
      <c r="Q81" s="16"/>
      <c r="R81" s="16"/>
      <c r="S81" s="16"/>
      <c r="T81" s="16"/>
      <c r="U81" s="23"/>
      <c r="V81" s="16"/>
      <c r="W81" s="16"/>
      <c r="X81" s="49"/>
      <c r="Y81" s="49"/>
      <c r="Z81" s="49"/>
      <c r="AA81" s="183" t="s">
        <v>82</v>
      </c>
      <c r="AB81" s="137"/>
      <c r="AC81" s="138"/>
      <c r="AD81" s="138"/>
      <c r="AE81" s="138"/>
      <c r="AF81" s="139">
        <v>143693.6</v>
      </c>
    </row>
    <row r="82" spans="1:32" ht="12.75" customHeight="1" x14ac:dyDescent="0.2">
      <c r="A82" s="125"/>
      <c r="B82" s="4"/>
      <c r="C82" s="5"/>
      <c r="D82" s="29"/>
      <c r="E82" s="29"/>
      <c r="F82" s="4"/>
      <c r="G82" s="4"/>
      <c r="H82" s="3"/>
      <c r="I82" s="3"/>
      <c r="J82" s="3"/>
      <c r="K82" s="13"/>
      <c r="L82" s="54"/>
      <c r="M82" s="13"/>
      <c r="N82" s="35"/>
      <c r="O82" s="23"/>
      <c r="P82" s="16"/>
      <c r="Q82" s="16"/>
      <c r="R82" s="16"/>
      <c r="S82" s="16"/>
      <c r="T82" s="16"/>
      <c r="U82" s="16"/>
      <c r="V82" s="23"/>
      <c r="W82" s="16"/>
      <c r="X82" s="49"/>
      <c r="Y82" s="49"/>
      <c r="Z82" s="49"/>
      <c r="AA82" s="181"/>
      <c r="AB82" s="181"/>
      <c r="AC82" s="181"/>
      <c r="AD82" s="181"/>
      <c r="AE82" s="181"/>
      <c r="AF82" s="182"/>
    </row>
    <row r="83" spans="1:32" s="36" customFormat="1" ht="12.75" customHeight="1" x14ac:dyDescent="0.2">
      <c r="A83" s="146"/>
      <c r="B83" s="97"/>
      <c r="C83" s="96"/>
      <c r="D83" s="109"/>
      <c r="E83" s="98"/>
      <c r="F83" s="98"/>
      <c r="G83" s="97"/>
      <c r="H83" s="78"/>
      <c r="I83" s="78"/>
      <c r="J83" s="78"/>
      <c r="K83" s="60"/>
      <c r="L83" s="60"/>
      <c r="M83" s="60"/>
      <c r="N83" s="79"/>
      <c r="O83" s="80"/>
      <c r="P83" s="80"/>
      <c r="Q83" s="80"/>
      <c r="R83" s="80"/>
      <c r="S83" s="80"/>
      <c r="T83" s="80"/>
      <c r="U83" s="80"/>
      <c r="V83" s="80"/>
      <c r="W83" s="80"/>
      <c r="X83" s="80"/>
      <c r="Y83" s="80"/>
      <c r="Z83" s="80"/>
      <c r="AA83" s="147"/>
      <c r="AB83" s="147"/>
      <c r="AC83" s="147"/>
      <c r="AD83" s="147"/>
      <c r="AE83" s="74" t="s">
        <v>71</v>
      </c>
      <c r="AF83" s="75"/>
    </row>
    <row r="84" spans="1:32" s="36" customFormat="1" ht="12.75" customHeight="1" x14ac:dyDescent="0.2">
      <c r="A84" s="103" t="s">
        <v>28</v>
      </c>
      <c r="B84" s="104"/>
      <c r="C84" s="105"/>
      <c r="D84" s="133" t="s">
        <v>83</v>
      </c>
      <c r="E84" s="106"/>
      <c r="F84" s="29"/>
      <c r="G84" s="106"/>
      <c r="H84" s="107"/>
      <c r="I84" s="107"/>
      <c r="J84" s="107"/>
      <c r="K84" s="54"/>
      <c r="L84" s="54"/>
      <c r="M84" s="54"/>
      <c r="N84" s="108"/>
      <c r="O84" s="23"/>
      <c r="P84" s="23"/>
      <c r="Q84" s="23"/>
      <c r="R84" s="23"/>
      <c r="S84" s="23"/>
      <c r="T84" s="23"/>
      <c r="U84" s="23"/>
      <c r="V84" s="23">
        <v>1</v>
      </c>
      <c r="W84" s="23"/>
      <c r="X84" s="23"/>
      <c r="Y84" s="23"/>
      <c r="Z84" s="23"/>
      <c r="AA84" s="166" t="s">
        <v>16</v>
      </c>
      <c r="AB84" s="167" t="s">
        <v>17</v>
      </c>
      <c r="AC84" s="166" t="s">
        <v>18</v>
      </c>
      <c r="AD84" s="167" t="s">
        <v>19</v>
      </c>
      <c r="AE84" s="166" t="s">
        <v>20</v>
      </c>
      <c r="AF84" s="173" t="s">
        <v>24</v>
      </c>
    </row>
    <row r="85" spans="1:32" ht="12.75" customHeight="1" x14ac:dyDescent="0.2">
      <c r="A85" s="125" t="s">
        <v>30</v>
      </c>
      <c r="B85" s="4"/>
      <c r="C85" s="5"/>
      <c r="D85" s="132" t="s">
        <v>84</v>
      </c>
      <c r="E85" s="4"/>
      <c r="F85" s="4"/>
      <c r="G85" s="4"/>
      <c r="H85" s="3"/>
      <c r="I85" s="3"/>
      <c r="J85" s="3"/>
      <c r="K85" s="13"/>
      <c r="L85" s="54"/>
      <c r="M85" s="13"/>
      <c r="N85" s="24"/>
      <c r="O85" s="23"/>
      <c r="P85" s="16"/>
      <c r="Q85" s="16"/>
      <c r="R85" s="16"/>
      <c r="S85" s="16"/>
      <c r="T85" s="16"/>
      <c r="U85" s="23"/>
      <c r="V85" s="16"/>
      <c r="W85" s="16"/>
      <c r="X85" s="49"/>
      <c r="Y85" s="49"/>
      <c r="Z85" s="49"/>
      <c r="AA85" s="183" t="s">
        <v>82</v>
      </c>
      <c r="AB85" s="137"/>
      <c r="AC85" s="138"/>
      <c r="AD85" s="138"/>
      <c r="AE85" s="138"/>
      <c r="AF85" s="139">
        <v>150878.39999999999</v>
      </c>
    </row>
    <row r="86" spans="1:32" ht="12.75" customHeight="1" x14ac:dyDescent="0.2">
      <c r="A86" s="125" t="s">
        <v>36</v>
      </c>
      <c r="B86" s="4"/>
      <c r="C86" s="5"/>
      <c r="D86" s="132" t="s">
        <v>84</v>
      </c>
      <c r="E86" s="4"/>
      <c r="F86" s="4"/>
      <c r="G86" s="4"/>
      <c r="I86" s="3"/>
      <c r="J86" s="3"/>
      <c r="K86" s="13"/>
      <c r="L86" s="54"/>
      <c r="M86" s="13"/>
      <c r="N86" s="24"/>
      <c r="O86" s="23"/>
      <c r="P86" s="16"/>
      <c r="Q86" s="16"/>
      <c r="R86" s="16"/>
      <c r="S86" s="16"/>
      <c r="T86" s="16"/>
      <c r="U86" s="23"/>
      <c r="V86" s="16"/>
      <c r="W86" s="16"/>
      <c r="X86" s="49"/>
      <c r="Y86" s="49"/>
      <c r="Z86" s="49"/>
      <c r="AA86" s="183" t="s">
        <v>82</v>
      </c>
      <c r="AB86" s="137"/>
      <c r="AC86" s="138"/>
      <c r="AD86" s="138"/>
      <c r="AE86" s="138"/>
      <c r="AF86" s="139">
        <v>150878.39999999999</v>
      </c>
    </row>
    <row r="87" spans="1:32" ht="12.75" customHeight="1" x14ac:dyDescent="0.2">
      <c r="A87" s="125" t="s">
        <v>38</v>
      </c>
      <c r="B87" s="4"/>
      <c r="C87" s="5"/>
      <c r="D87" s="132" t="s">
        <v>84</v>
      </c>
      <c r="E87" s="4"/>
      <c r="F87" s="4"/>
      <c r="G87" s="4"/>
      <c r="H87" s="3"/>
      <c r="I87" s="3"/>
      <c r="J87" s="3"/>
      <c r="K87" s="13"/>
      <c r="L87" s="54"/>
      <c r="M87" s="13"/>
      <c r="N87" s="24"/>
      <c r="O87" s="23"/>
      <c r="P87" s="16"/>
      <c r="Q87" s="16"/>
      <c r="R87" s="16"/>
      <c r="S87" s="16"/>
      <c r="T87" s="16"/>
      <c r="U87" s="23"/>
      <c r="V87" s="16"/>
      <c r="W87" s="16"/>
      <c r="X87" s="49"/>
      <c r="Y87" s="49"/>
      <c r="Z87" s="49"/>
      <c r="AA87" s="183" t="s">
        <v>82</v>
      </c>
      <c r="AB87" s="137"/>
      <c r="AC87" s="138"/>
      <c r="AD87" s="138"/>
      <c r="AE87" s="138"/>
      <c r="AF87" s="139">
        <v>150878.39999999999</v>
      </c>
    </row>
    <row r="88" spans="1:32" ht="12.75" customHeight="1" x14ac:dyDescent="0.2">
      <c r="A88" s="125" t="s">
        <v>40</v>
      </c>
      <c r="B88" s="4"/>
      <c r="C88" s="5"/>
      <c r="D88" s="132" t="s">
        <v>84</v>
      </c>
      <c r="E88" s="4"/>
      <c r="F88" s="4"/>
      <c r="G88" s="4"/>
      <c r="H88" s="3"/>
      <c r="I88" s="3"/>
      <c r="J88" s="3"/>
      <c r="K88" s="13"/>
      <c r="L88" s="54"/>
      <c r="M88" s="13"/>
      <c r="N88" s="24"/>
      <c r="O88" s="23"/>
      <c r="P88" s="16"/>
      <c r="Q88" s="16"/>
      <c r="R88" s="16"/>
      <c r="S88" s="16"/>
      <c r="T88" s="16"/>
      <c r="U88" s="23"/>
      <c r="V88" s="16"/>
      <c r="W88" s="16"/>
      <c r="X88" s="49"/>
      <c r="Y88" s="49"/>
      <c r="Z88" s="49"/>
      <c r="AA88" s="183" t="s">
        <v>82</v>
      </c>
      <c r="AB88" s="137"/>
      <c r="AC88" s="138"/>
      <c r="AD88" s="138"/>
      <c r="AE88" s="138"/>
      <c r="AF88" s="139">
        <v>150878.39999999999</v>
      </c>
    </row>
    <row r="89" spans="1:32" ht="12.75" customHeight="1" x14ac:dyDescent="0.2">
      <c r="A89" s="125" t="s">
        <v>42</v>
      </c>
      <c r="B89" s="4"/>
      <c r="C89" s="5"/>
      <c r="D89" s="132" t="s">
        <v>84</v>
      </c>
      <c r="E89" s="4"/>
      <c r="F89" s="4"/>
      <c r="G89" s="4"/>
      <c r="H89" s="3"/>
      <c r="I89" s="3"/>
      <c r="J89" s="3"/>
      <c r="K89" s="13"/>
      <c r="L89" s="54"/>
      <c r="M89" s="13"/>
      <c r="N89" s="24"/>
      <c r="O89" s="23"/>
      <c r="P89" s="16"/>
      <c r="Q89" s="16"/>
      <c r="R89" s="16"/>
      <c r="S89" s="16"/>
      <c r="T89" s="16"/>
      <c r="U89" s="23"/>
      <c r="V89" s="16"/>
      <c r="W89" s="16"/>
      <c r="X89" s="49"/>
      <c r="Y89" s="49"/>
      <c r="Z89" s="49"/>
      <c r="AA89" s="183" t="s">
        <v>82</v>
      </c>
      <c r="AB89" s="137"/>
      <c r="AC89" s="138"/>
      <c r="AD89" s="138"/>
      <c r="AE89" s="138"/>
      <c r="AF89" s="139">
        <v>150878.39999999999</v>
      </c>
    </row>
    <row r="90" spans="1:32" ht="12.75" customHeight="1" x14ac:dyDescent="0.2">
      <c r="A90" s="125" t="s">
        <v>44</v>
      </c>
      <c r="B90" s="4"/>
      <c r="C90" s="5"/>
      <c r="D90" s="132" t="s">
        <v>84</v>
      </c>
      <c r="E90" s="4"/>
      <c r="F90" s="4"/>
      <c r="G90" s="4"/>
      <c r="H90" s="3"/>
      <c r="I90" s="3"/>
      <c r="J90" s="3"/>
      <c r="K90" s="13"/>
      <c r="L90" s="54"/>
      <c r="M90" s="13"/>
      <c r="N90" s="24"/>
      <c r="O90" s="23"/>
      <c r="P90" s="16"/>
      <c r="Q90" s="16"/>
      <c r="R90" s="16"/>
      <c r="S90" s="16"/>
      <c r="T90" s="16"/>
      <c r="U90" s="23"/>
      <c r="V90" s="16"/>
      <c r="W90" s="16"/>
      <c r="X90" s="49"/>
      <c r="Y90" s="49"/>
      <c r="Z90" s="49"/>
      <c r="AA90" s="183" t="s">
        <v>82</v>
      </c>
      <c r="AB90" s="137"/>
      <c r="AC90" s="138"/>
      <c r="AD90" s="138"/>
      <c r="AE90" s="138"/>
      <c r="AF90" s="139">
        <v>7592.8</v>
      </c>
    </row>
    <row r="91" spans="1:32" s="36" customFormat="1" ht="16.899999999999999" customHeight="1" x14ac:dyDescent="0.25">
      <c r="A91" s="152"/>
      <c r="B91" s="110"/>
      <c r="C91" s="111"/>
      <c r="D91" s="112"/>
      <c r="E91" s="113"/>
      <c r="F91" s="113"/>
      <c r="G91" s="110"/>
      <c r="H91" s="95"/>
      <c r="I91" s="95"/>
      <c r="J91" s="95"/>
      <c r="K91" s="54"/>
      <c r="L91" s="54"/>
      <c r="M91" s="54"/>
      <c r="N91" s="108"/>
      <c r="O91" s="23"/>
      <c r="P91" s="23"/>
      <c r="Q91" s="23"/>
      <c r="R91" s="23"/>
      <c r="S91" s="23"/>
      <c r="T91" s="23"/>
      <c r="U91" s="23"/>
      <c r="V91" s="23"/>
      <c r="W91" s="23"/>
      <c r="X91" s="23"/>
      <c r="Y91" s="23"/>
      <c r="Z91" s="23"/>
      <c r="AA91" s="144"/>
      <c r="AB91" s="144"/>
      <c r="AC91" s="144"/>
      <c r="AD91" s="144"/>
      <c r="AE91" s="114"/>
      <c r="AF91" s="115"/>
    </row>
    <row r="92" spans="1:32" x14ac:dyDescent="0.2">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row>
    <row r="93" spans="1:32" x14ac:dyDescent="0.2">
      <c r="A93" s="168"/>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row>
    <row r="94" spans="1:32" x14ac:dyDescent="0.2">
      <c r="A94" s="168"/>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row>
    <row r="95" spans="1:32" x14ac:dyDescent="0.2">
      <c r="A95" s="168"/>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row>
    <row r="96" spans="1:32" x14ac:dyDescent="0.2">
      <c r="A96" s="168"/>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row>
    <row r="97" spans="1:27" x14ac:dyDescent="0.2">
      <c r="A97" s="168"/>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row>
    <row r="98" spans="1:27" x14ac:dyDescent="0.2">
      <c r="A98" s="168"/>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row>
    <row r="99" spans="1:27" x14ac:dyDescent="0.2">
      <c r="A99" s="168"/>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row>
    <row r="100" spans="1:27" x14ac:dyDescent="0.2">
      <c r="A100" s="168"/>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row>
    <row r="101" spans="1:27" x14ac:dyDescent="0.2">
      <c r="A101" s="168"/>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row>
    <row r="102" spans="1:27" x14ac:dyDescent="0.2">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row>
    <row r="103" spans="1:27" x14ac:dyDescent="0.2">
      <c r="A103" s="168"/>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row>
  </sheetData>
  <mergeCells count="13">
    <mergeCell ref="A2:AF2"/>
    <mergeCell ref="A103:AA103"/>
    <mergeCell ref="A97:AA97"/>
    <mergeCell ref="A98:AA98"/>
    <mergeCell ref="A99:AA99"/>
    <mergeCell ref="A100:AA100"/>
    <mergeCell ref="A101:AA101"/>
    <mergeCell ref="A102:AA102"/>
    <mergeCell ref="A92:AA92"/>
    <mergeCell ref="A93:AA93"/>
    <mergeCell ref="A94:AA94"/>
    <mergeCell ref="A95:AA95"/>
    <mergeCell ref="A96:AA96"/>
  </mergeCells>
  <phoneticPr fontId="18" type="noConversion"/>
  <pageMargins left="0.45" right="0" top="0.75" bottom="0.75" header="0.3" footer="0.3"/>
  <pageSetup paperSize="3" scale="70" fitToHeight="0" orientation="landscape" r:id="rId1"/>
  <headerFooter>
    <oddFooter>&amp;F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Q203"/>
  <sheetViews>
    <sheetView topLeftCell="A168" workbookViewId="0">
      <selection activeCell="A2" sqref="A2:AN203"/>
    </sheetView>
  </sheetViews>
  <sheetFormatPr defaultRowHeight="12.75" x14ac:dyDescent="0.2"/>
  <cols>
    <col min="2" max="3" width="0" hidden="1" customWidth="1"/>
    <col min="5" max="8" width="0" hidden="1" customWidth="1"/>
    <col min="10" max="10" width="9.28515625" customWidth="1"/>
    <col min="11" max="24" width="9.28515625" hidden="1" customWidth="1"/>
    <col min="25" max="25" width="27.28515625" customWidth="1"/>
    <col min="26" max="28" width="9.28515625" hidden="1" customWidth="1"/>
    <col min="29" max="29" width="11" customWidth="1"/>
    <col min="30" max="30" width="11.28515625" bestFit="1" customWidth="1"/>
    <col min="33" max="33" width="11.7109375" customWidth="1"/>
    <col min="34" max="34" width="12.28515625" customWidth="1"/>
    <col min="35" max="39" width="0" hidden="1" customWidth="1"/>
  </cols>
  <sheetData>
    <row r="1" spans="1:43" ht="7.5" customHeight="1" x14ac:dyDescent="0.2"/>
    <row r="2" spans="1:43" ht="26.25" customHeight="1" x14ac:dyDescent="0.35">
      <c r="A2" s="87" t="s">
        <v>85</v>
      </c>
    </row>
    <row r="3" spans="1:43" ht="12" customHeight="1" thickBot="1" x14ac:dyDescent="0.25">
      <c r="A3" s="93">
        <v>43691</v>
      </c>
    </row>
    <row r="4" spans="1:43" ht="38.25" customHeight="1" x14ac:dyDescent="0.2">
      <c r="A4" s="123"/>
      <c r="B4" s="88" t="s">
        <v>1</v>
      </c>
      <c r="C4" s="89" t="s">
        <v>2</v>
      </c>
      <c r="D4" s="123" t="s">
        <v>3</v>
      </c>
      <c r="E4" s="123" t="s">
        <v>4</v>
      </c>
      <c r="F4" s="123" t="s">
        <v>5</v>
      </c>
      <c r="G4" s="123" t="s">
        <v>6</v>
      </c>
      <c r="H4" s="123" t="s">
        <v>7</v>
      </c>
      <c r="I4" s="90" t="s">
        <v>8</v>
      </c>
      <c r="J4" s="90" t="s">
        <v>9</v>
      </c>
      <c r="K4" s="90" t="s">
        <v>10</v>
      </c>
      <c r="L4" s="124" t="s">
        <v>11</v>
      </c>
      <c r="M4" s="91" t="s">
        <v>12</v>
      </c>
      <c r="N4" s="91">
        <v>2018</v>
      </c>
      <c r="O4" s="91">
        <v>2019</v>
      </c>
      <c r="P4" s="91">
        <v>2020</v>
      </c>
      <c r="Q4" s="91">
        <v>2021</v>
      </c>
      <c r="R4" s="91">
        <v>2022</v>
      </c>
      <c r="S4" s="91">
        <v>2023</v>
      </c>
      <c r="T4" s="91">
        <v>2024</v>
      </c>
      <c r="U4" s="91">
        <v>2025</v>
      </c>
      <c r="V4" s="91" t="s">
        <v>13</v>
      </c>
      <c r="W4" s="91" t="s">
        <v>14</v>
      </c>
      <c r="X4" s="91" t="s">
        <v>15</v>
      </c>
      <c r="Y4" s="91" t="s">
        <v>16</v>
      </c>
      <c r="Z4" s="91" t="s">
        <v>86</v>
      </c>
      <c r="AA4" s="91" t="s">
        <v>19</v>
      </c>
      <c r="AB4" s="91" t="s">
        <v>20</v>
      </c>
      <c r="AC4" s="91" t="s">
        <v>87</v>
      </c>
      <c r="AD4" s="91" t="s">
        <v>21</v>
      </c>
      <c r="AE4" s="91" t="s">
        <v>22</v>
      </c>
      <c r="AF4" s="91" t="s">
        <v>23</v>
      </c>
      <c r="AG4" s="91" t="s">
        <v>24</v>
      </c>
      <c r="AH4" s="91" t="s">
        <v>25</v>
      </c>
      <c r="AI4" s="41" t="s">
        <v>26</v>
      </c>
      <c r="AJ4" s="170" t="s">
        <v>27</v>
      </c>
      <c r="AK4" s="171"/>
      <c r="AL4" s="172"/>
      <c r="AQ4" s="43"/>
    </row>
    <row r="5" spans="1:43" ht="7.5" customHeight="1" x14ac:dyDescent="0.2"/>
    <row r="6" spans="1:43" ht="14.25" customHeight="1" x14ac:dyDescent="0.2">
      <c r="A6" s="83" t="s">
        <v>28</v>
      </c>
      <c r="B6" s="4"/>
      <c r="C6" s="5"/>
      <c r="D6" s="28" t="s">
        <v>88</v>
      </c>
      <c r="E6" s="4"/>
      <c r="F6" s="4"/>
      <c r="G6" s="4"/>
      <c r="H6" s="3"/>
      <c r="I6" s="13"/>
      <c r="J6" s="13"/>
      <c r="K6" s="13"/>
      <c r="L6" s="8"/>
      <c r="M6" s="16"/>
      <c r="N6" s="16"/>
      <c r="O6" s="16"/>
      <c r="P6" s="16"/>
      <c r="Q6" s="16"/>
      <c r="R6" s="16"/>
      <c r="S6" s="16"/>
      <c r="T6" s="16"/>
      <c r="U6" s="16"/>
      <c r="V6" s="49" t="s">
        <v>89</v>
      </c>
      <c r="W6" s="49"/>
      <c r="X6" s="49"/>
      <c r="Y6" s="16"/>
      <c r="Z6" s="16"/>
      <c r="AA6" s="16"/>
      <c r="AB6" s="16"/>
      <c r="AC6" s="46"/>
      <c r="AD6" s="46"/>
      <c r="AE6" s="47"/>
      <c r="AF6" s="47"/>
      <c r="AG6" s="47"/>
      <c r="AH6" s="47"/>
      <c r="AI6" s="46"/>
      <c r="AJ6" s="11"/>
      <c r="AK6" s="12"/>
      <c r="AL6" s="17"/>
    </row>
    <row r="7" spans="1:43" ht="12.75" customHeight="1" x14ac:dyDescent="0.2">
      <c r="A7" s="153"/>
      <c r="B7" s="4"/>
      <c r="C7" s="5"/>
      <c r="D7" s="29"/>
      <c r="E7" s="4"/>
      <c r="F7" s="4"/>
      <c r="G7" s="4"/>
      <c r="H7" s="3"/>
      <c r="I7" s="13"/>
      <c r="J7" s="13"/>
      <c r="K7" s="13"/>
      <c r="L7" s="24"/>
      <c r="M7" s="16"/>
      <c r="N7" s="16"/>
      <c r="O7" s="16"/>
      <c r="P7" s="16"/>
      <c r="Q7" s="16"/>
      <c r="R7" s="16"/>
      <c r="S7" s="16"/>
      <c r="T7" s="16"/>
      <c r="U7" s="16"/>
      <c r="V7" s="49" t="s">
        <v>89</v>
      </c>
      <c r="W7" s="49"/>
      <c r="X7" s="49"/>
      <c r="Y7" s="16"/>
      <c r="Z7" s="16"/>
      <c r="AA7" s="16"/>
      <c r="AB7" s="16"/>
      <c r="AC7" s="46"/>
      <c r="AD7" s="46"/>
      <c r="AE7" s="47"/>
      <c r="AF7" s="47"/>
      <c r="AG7" s="47"/>
      <c r="AH7" s="47"/>
      <c r="AI7" s="46"/>
      <c r="AJ7" s="11"/>
      <c r="AK7" s="12"/>
      <c r="AL7" s="17"/>
    </row>
    <row r="8" spans="1:43" ht="12.75" customHeight="1" x14ac:dyDescent="0.2">
      <c r="A8" s="153" t="s">
        <v>30</v>
      </c>
      <c r="B8" s="4"/>
      <c r="C8" s="5"/>
      <c r="D8" s="29">
        <v>2114</v>
      </c>
      <c r="E8" s="4" t="s">
        <v>90</v>
      </c>
      <c r="F8" s="4" t="s">
        <v>91</v>
      </c>
      <c r="G8" s="4">
        <v>2002</v>
      </c>
      <c r="H8" s="3" t="s">
        <v>92</v>
      </c>
      <c r="I8" s="13">
        <v>2002</v>
      </c>
      <c r="J8" s="13">
        <f>2019-I8</f>
        <v>17</v>
      </c>
      <c r="K8" s="13"/>
      <c r="L8" s="8">
        <v>37336</v>
      </c>
      <c r="M8" s="23">
        <v>1</v>
      </c>
      <c r="N8" s="16"/>
      <c r="O8" s="154">
        <v>1</v>
      </c>
      <c r="P8" s="142" t="s">
        <v>93</v>
      </c>
      <c r="Q8" s="142" t="s">
        <v>93</v>
      </c>
      <c r="R8" s="142" t="s">
        <v>93</v>
      </c>
      <c r="S8" s="142" t="s">
        <v>93</v>
      </c>
      <c r="T8" s="142" t="s">
        <v>93</v>
      </c>
      <c r="U8" s="142" t="s">
        <v>93</v>
      </c>
      <c r="V8" s="142" t="s">
        <v>93</v>
      </c>
      <c r="W8" s="142" t="s">
        <v>93</v>
      </c>
      <c r="X8" s="142" t="s">
        <v>93</v>
      </c>
      <c r="Y8" s="144" t="s">
        <v>94</v>
      </c>
      <c r="Z8" s="138" t="s">
        <v>95</v>
      </c>
      <c r="AA8" s="138"/>
      <c r="AB8" s="138"/>
      <c r="AC8" s="149">
        <v>505103.03</v>
      </c>
      <c r="AD8" s="149">
        <f>AC8</f>
        <v>505103.03</v>
      </c>
      <c r="AE8" s="155">
        <v>0.8</v>
      </c>
      <c r="AF8" s="155">
        <v>0.2</v>
      </c>
      <c r="AG8" s="149">
        <f>AE8*AC8</f>
        <v>404082.42400000006</v>
      </c>
      <c r="AH8" s="149">
        <f>AC8*AF8</f>
        <v>101020.60600000001</v>
      </c>
      <c r="AI8" s="156" t="s">
        <v>96</v>
      </c>
      <c r="AJ8" s="11"/>
      <c r="AK8" s="12"/>
      <c r="AL8" s="17"/>
    </row>
    <row r="9" spans="1:43" ht="12.75" customHeight="1" x14ac:dyDescent="0.2">
      <c r="A9" s="153" t="s">
        <v>36</v>
      </c>
      <c r="B9" s="4"/>
      <c r="C9" s="5"/>
      <c r="D9" s="29">
        <v>2115</v>
      </c>
      <c r="E9" s="4" t="s">
        <v>90</v>
      </c>
      <c r="F9" s="4" t="s">
        <v>91</v>
      </c>
      <c r="G9" s="4">
        <v>2002</v>
      </c>
      <c r="H9" s="3" t="s">
        <v>97</v>
      </c>
      <c r="I9" s="13">
        <v>2002</v>
      </c>
      <c r="J9" s="13">
        <f t="shared" ref="J9:J47" si="0">2019-I9</f>
        <v>17</v>
      </c>
      <c r="K9" s="13"/>
      <c r="L9" s="8">
        <v>37336</v>
      </c>
      <c r="M9" s="23">
        <v>1</v>
      </c>
      <c r="N9" s="16"/>
      <c r="O9" s="144">
        <v>1</v>
      </c>
      <c r="P9" s="144" t="s">
        <v>93</v>
      </c>
      <c r="Q9" s="144" t="s">
        <v>93</v>
      </c>
      <c r="R9" s="144" t="s">
        <v>93</v>
      </c>
      <c r="S9" s="144" t="s">
        <v>93</v>
      </c>
      <c r="T9" s="144" t="s">
        <v>93</v>
      </c>
      <c r="U9" s="144" t="s">
        <v>93</v>
      </c>
      <c r="V9" s="144" t="s">
        <v>93</v>
      </c>
      <c r="W9" s="144" t="s">
        <v>93</v>
      </c>
      <c r="X9" s="144" t="s">
        <v>93</v>
      </c>
      <c r="Y9" s="144" t="s">
        <v>94</v>
      </c>
      <c r="Z9" s="138" t="s">
        <v>95</v>
      </c>
      <c r="AA9" s="138"/>
      <c r="AB9" s="138"/>
      <c r="AC9" s="149">
        <v>505103.03</v>
      </c>
      <c r="AD9" s="149">
        <f>AC9+AD8</f>
        <v>1010206.06</v>
      </c>
      <c r="AE9" s="155">
        <v>0.8</v>
      </c>
      <c r="AF9" s="155">
        <v>0.2</v>
      </c>
      <c r="AG9" s="149">
        <f>AE9*AC9</f>
        <v>404082.42400000006</v>
      </c>
      <c r="AH9" s="149">
        <f>AC9*AF9</f>
        <v>101020.60600000001</v>
      </c>
      <c r="AI9" s="156" t="s">
        <v>96</v>
      </c>
      <c r="AJ9" s="11"/>
      <c r="AK9" s="12"/>
      <c r="AL9" s="17"/>
    </row>
    <row r="10" spans="1:43" ht="12.75" customHeight="1" x14ac:dyDescent="0.2">
      <c r="A10" s="153" t="s">
        <v>38</v>
      </c>
      <c r="B10" s="4"/>
      <c r="C10" s="5"/>
      <c r="D10" s="29">
        <v>2116</v>
      </c>
      <c r="E10" s="4" t="s">
        <v>90</v>
      </c>
      <c r="F10" s="4" t="s">
        <v>91</v>
      </c>
      <c r="G10" s="4">
        <v>2002</v>
      </c>
      <c r="H10" s="3" t="s">
        <v>98</v>
      </c>
      <c r="I10" s="13">
        <v>2002</v>
      </c>
      <c r="J10" s="13">
        <f t="shared" si="0"/>
        <v>17</v>
      </c>
      <c r="K10" s="13"/>
      <c r="L10" s="8">
        <v>37349</v>
      </c>
      <c r="M10" s="23">
        <v>1</v>
      </c>
      <c r="N10" s="16"/>
      <c r="O10" s="144">
        <v>1</v>
      </c>
      <c r="P10" s="144" t="s">
        <v>93</v>
      </c>
      <c r="Q10" s="144" t="s">
        <v>93</v>
      </c>
      <c r="R10" s="144" t="s">
        <v>93</v>
      </c>
      <c r="S10" s="144" t="s">
        <v>93</v>
      </c>
      <c r="T10" s="144" t="s">
        <v>93</v>
      </c>
      <c r="U10" s="144" t="s">
        <v>93</v>
      </c>
      <c r="V10" s="144" t="s">
        <v>93</v>
      </c>
      <c r="W10" s="144" t="s">
        <v>93</v>
      </c>
      <c r="X10" s="144" t="s">
        <v>93</v>
      </c>
      <c r="Y10" s="144" t="s">
        <v>94</v>
      </c>
      <c r="Z10" s="138" t="s">
        <v>95</v>
      </c>
      <c r="AA10" s="138"/>
      <c r="AB10" s="138"/>
      <c r="AC10" s="149">
        <v>505103.03</v>
      </c>
      <c r="AD10" s="149">
        <f t="shared" ref="AD10:AD47" si="1">AC10+AD9</f>
        <v>1515309.09</v>
      </c>
      <c r="AE10" s="155">
        <v>0.8</v>
      </c>
      <c r="AF10" s="155">
        <v>0.2</v>
      </c>
      <c r="AG10" s="149">
        <f t="shared" ref="AG10:AG15" si="2">0.8*AC10</f>
        <v>404082.42400000006</v>
      </c>
      <c r="AH10" s="149">
        <f t="shared" ref="AH10:AH15" si="3">AC10*0.2</f>
        <v>101020.60600000001</v>
      </c>
      <c r="AI10" s="139"/>
      <c r="AJ10" s="11"/>
      <c r="AK10" s="12"/>
      <c r="AL10" s="17"/>
    </row>
    <row r="11" spans="1:43" ht="12.75" customHeight="1" x14ac:dyDescent="0.2">
      <c r="A11" s="153" t="s">
        <v>40</v>
      </c>
      <c r="B11" s="4"/>
      <c r="C11" s="5"/>
      <c r="D11" s="29">
        <v>2119</v>
      </c>
      <c r="E11" s="4" t="s">
        <v>90</v>
      </c>
      <c r="F11" s="4" t="s">
        <v>91</v>
      </c>
      <c r="G11" s="4">
        <v>2002</v>
      </c>
      <c r="H11" s="3" t="s">
        <v>99</v>
      </c>
      <c r="I11" s="13">
        <v>2002</v>
      </c>
      <c r="J11" s="13">
        <f t="shared" si="0"/>
        <v>17</v>
      </c>
      <c r="K11" s="13"/>
      <c r="L11" s="24">
        <v>37348</v>
      </c>
      <c r="M11" s="23">
        <v>1</v>
      </c>
      <c r="N11" s="16"/>
      <c r="O11" s="144">
        <v>1</v>
      </c>
      <c r="P11" s="144" t="s">
        <v>93</v>
      </c>
      <c r="Q11" s="144" t="s">
        <v>93</v>
      </c>
      <c r="R11" s="144" t="s">
        <v>93</v>
      </c>
      <c r="S11" s="144" t="s">
        <v>93</v>
      </c>
      <c r="T11" s="144" t="s">
        <v>93</v>
      </c>
      <c r="U11" s="144" t="s">
        <v>93</v>
      </c>
      <c r="V11" s="144" t="s">
        <v>93</v>
      </c>
      <c r="W11" s="144" t="s">
        <v>93</v>
      </c>
      <c r="X11" s="144" t="s">
        <v>93</v>
      </c>
      <c r="Y11" s="144" t="s">
        <v>94</v>
      </c>
      <c r="Z11" s="138" t="s">
        <v>95</v>
      </c>
      <c r="AA11" s="138"/>
      <c r="AB11" s="138"/>
      <c r="AC11" s="149">
        <v>505103.03</v>
      </c>
      <c r="AD11" s="149">
        <f t="shared" si="1"/>
        <v>2020412.12</v>
      </c>
      <c r="AE11" s="155">
        <v>0.8</v>
      </c>
      <c r="AF11" s="155">
        <v>0.2</v>
      </c>
      <c r="AG11" s="149">
        <f t="shared" si="2"/>
        <v>404082.42400000006</v>
      </c>
      <c r="AH11" s="149">
        <f t="shared" si="3"/>
        <v>101020.60600000001</v>
      </c>
      <c r="AI11" s="139"/>
      <c r="AJ11" s="11"/>
      <c r="AK11" s="12"/>
      <c r="AL11" s="17"/>
    </row>
    <row r="12" spans="1:43" ht="12.75" customHeight="1" x14ac:dyDescent="0.2">
      <c r="A12" s="153" t="s">
        <v>42</v>
      </c>
      <c r="B12" s="4"/>
      <c r="C12" s="5"/>
      <c r="D12" s="29">
        <v>2124</v>
      </c>
      <c r="E12" s="4" t="s">
        <v>90</v>
      </c>
      <c r="F12" s="4" t="s">
        <v>91</v>
      </c>
      <c r="G12" s="4">
        <v>2002</v>
      </c>
      <c r="H12" s="3" t="s">
        <v>100</v>
      </c>
      <c r="I12" s="13">
        <v>2002</v>
      </c>
      <c r="J12" s="13">
        <f t="shared" si="0"/>
        <v>17</v>
      </c>
      <c r="K12" s="13"/>
      <c r="L12" s="8">
        <v>37350</v>
      </c>
      <c r="M12" s="23">
        <v>1</v>
      </c>
      <c r="N12" s="16"/>
      <c r="O12" s="144">
        <v>1</v>
      </c>
      <c r="P12" s="144" t="s">
        <v>93</v>
      </c>
      <c r="Q12" s="144" t="s">
        <v>93</v>
      </c>
      <c r="R12" s="144" t="s">
        <v>93</v>
      </c>
      <c r="S12" s="144" t="s">
        <v>93</v>
      </c>
      <c r="T12" s="144" t="s">
        <v>93</v>
      </c>
      <c r="U12" s="144" t="s">
        <v>93</v>
      </c>
      <c r="V12" s="144" t="s">
        <v>93</v>
      </c>
      <c r="W12" s="144" t="s">
        <v>93</v>
      </c>
      <c r="X12" s="144" t="s">
        <v>93</v>
      </c>
      <c r="Y12" s="144" t="s">
        <v>94</v>
      </c>
      <c r="Z12" s="138" t="s">
        <v>95</v>
      </c>
      <c r="AA12" s="138"/>
      <c r="AB12" s="138"/>
      <c r="AC12" s="149">
        <v>505103.03</v>
      </c>
      <c r="AD12" s="149">
        <f t="shared" si="1"/>
        <v>2525515.1500000004</v>
      </c>
      <c r="AE12" s="155">
        <v>0.8</v>
      </c>
      <c r="AF12" s="155">
        <v>0.2</v>
      </c>
      <c r="AG12" s="149">
        <f t="shared" si="2"/>
        <v>404082.42400000006</v>
      </c>
      <c r="AH12" s="149">
        <f t="shared" si="3"/>
        <v>101020.60600000001</v>
      </c>
      <c r="AI12" s="139"/>
      <c r="AJ12" s="11"/>
      <c r="AK12" s="12"/>
      <c r="AL12" s="17"/>
    </row>
    <row r="13" spans="1:43" ht="12.75" customHeight="1" x14ac:dyDescent="0.2">
      <c r="A13" s="153" t="s">
        <v>44</v>
      </c>
      <c r="B13" s="4"/>
      <c r="C13" s="5"/>
      <c r="D13" s="29">
        <v>2125</v>
      </c>
      <c r="E13" s="4" t="s">
        <v>90</v>
      </c>
      <c r="F13" s="4" t="s">
        <v>91</v>
      </c>
      <c r="G13" s="4">
        <v>2002</v>
      </c>
      <c r="H13" s="3" t="s">
        <v>101</v>
      </c>
      <c r="I13" s="13">
        <v>2002</v>
      </c>
      <c r="J13" s="13">
        <f t="shared" si="0"/>
        <v>17</v>
      </c>
      <c r="K13" s="13"/>
      <c r="L13" s="8">
        <v>37362</v>
      </c>
      <c r="M13" s="23">
        <v>1</v>
      </c>
      <c r="N13" s="16"/>
      <c r="O13" s="144">
        <v>1</v>
      </c>
      <c r="P13" s="144" t="s">
        <v>93</v>
      </c>
      <c r="Q13" s="144" t="s">
        <v>93</v>
      </c>
      <c r="R13" s="144" t="s">
        <v>93</v>
      </c>
      <c r="S13" s="144" t="s">
        <v>93</v>
      </c>
      <c r="T13" s="144" t="s">
        <v>93</v>
      </c>
      <c r="U13" s="144" t="s">
        <v>93</v>
      </c>
      <c r="V13" s="144" t="s">
        <v>93</v>
      </c>
      <c r="W13" s="144" t="s">
        <v>93</v>
      </c>
      <c r="X13" s="144" t="s">
        <v>93</v>
      </c>
      <c r="Y13" s="144" t="s">
        <v>94</v>
      </c>
      <c r="Z13" s="138" t="s">
        <v>95</v>
      </c>
      <c r="AA13" s="138"/>
      <c r="AB13" s="138"/>
      <c r="AC13" s="149">
        <v>505103.03</v>
      </c>
      <c r="AD13" s="149">
        <f t="shared" si="1"/>
        <v>3030618.1800000006</v>
      </c>
      <c r="AE13" s="155">
        <v>0.8</v>
      </c>
      <c r="AF13" s="155">
        <v>0.2</v>
      </c>
      <c r="AG13" s="149">
        <f t="shared" si="2"/>
        <v>404082.42400000006</v>
      </c>
      <c r="AH13" s="149">
        <f t="shared" si="3"/>
        <v>101020.60600000001</v>
      </c>
      <c r="AI13" s="139"/>
      <c r="AJ13" s="11"/>
      <c r="AK13" s="12"/>
      <c r="AL13" s="17"/>
    </row>
    <row r="14" spans="1:43" ht="12.75" customHeight="1" x14ac:dyDescent="0.2">
      <c r="A14" s="153" t="s">
        <v>46</v>
      </c>
      <c r="B14" s="4"/>
      <c r="C14" s="5"/>
      <c r="D14" s="29">
        <v>2127</v>
      </c>
      <c r="E14" s="4" t="s">
        <v>90</v>
      </c>
      <c r="F14" s="4" t="s">
        <v>91</v>
      </c>
      <c r="G14" s="4">
        <v>2002</v>
      </c>
      <c r="H14" s="3" t="s">
        <v>102</v>
      </c>
      <c r="I14" s="13">
        <v>2002</v>
      </c>
      <c r="J14" s="13">
        <f t="shared" si="0"/>
        <v>17</v>
      </c>
      <c r="K14" s="13"/>
      <c r="L14" s="8">
        <v>37351</v>
      </c>
      <c r="M14" s="23">
        <v>1</v>
      </c>
      <c r="N14" s="16"/>
      <c r="O14" s="144">
        <v>1</v>
      </c>
      <c r="P14" s="144" t="s">
        <v>93</v>
      </c>
      <c r="Q14" s="144" t="s">
        <v>93</v>
      </c>
      <c r="R14" s="144" t="s">
        <v>93</v>
      </c>
      <c r="S14" s="144" t="s">
        <v>93</v>
      </c>
      <c r="T14" s="144" t="s">
        <v>93</v>
      </c>
      <c r="U14" s="144" t="s">
        <v>93</v>
      </c>
      <c r="V14" s="144" t="s">
        <v>93</v>
      </c>
      <c r="W14" s="144" t="s">
        <v>93</v>
      </c>
      <c r="X14" s="144" t="s">
        <v>93</v>
      </c>
      <c r="Y14" s="144" t="s">
        <v>94</v>
      </c>
      <c r="Z14" s="138" t="s">
        <v>95</v>
      </c>
      <c r="AA14" s="138"/>
      <c r="AB14" s="138"/>
      <c r="AC14" s="149">
        <v>505103.03</v>
      </c>
      <c r="AD14" s="149">
        <f t="shared" si="1"/>
        <v>3535721.2100000009</v>
      </c>
      <c r="AE14" s="155">
        <v>0.8</v>
      </c>
      <c r="AF14" s="155">
        <v>0.2</v>
      </c>
      <c r="AG14" s="149">
        <f t="shared" si="2"/>
        <v>404082.42400000006</v>
      </c>
      <c r="AH14" s="149">
        <f t="shared" si="3"/>
        <v>101020.60600000001</v>
      </c>
      <c r="AI14" s="139"/>
      <c r="AJ14" s="11"/>
      <c r="AK14" s="12"/>
      <c r="AL14" s="17"/>
    </row>
    <row r="15" spans="1:43" ht="12.75" customHeight="1" x14ac:dyDescent="0.2">
      <c r="A15" s="153" t="s">
        <v>48</v>
      </c>
      <c r="B15" s="4"/>
      <c r="C15" s="5"/>
      <c r="D15" s="29">
        <v>2133</v>
      </c>
      <c r="E15" s="4" t="s">
        <v>90</v>
      </c>
      <c r="F15" s="4" t="s">
        <v>103</v>
      </c>
      <c r="G15" s="4">
        <v>2004</v>
      </c>
      <c r="H15" s="3" t="s">
        <v>104</v>
      </c>
      <c r="I15" s="13">
        <v>2004</v>
      </c>
      <c r="J15" s="13">
        <f t="shared" si="0"/>
        <v>15</v>
      </c>
      <c r="K15" s="13"/>
      <c r="L15" s="8">
        <v>38177</v>
      </c>
      <c r="M15" s="23">
        <v>1</v>
      </c>
      <c r="N15" s="16"/>
      <c r="O15" s="144">
        <v>1</v>
      </c>
      <c r="P15" s="144" t="s">
        <v>93</v>
      </c>
      <c r="Q15" s="144" t="s">
        <v>93</v>
      </c>
      <c r="R15" s="144" t="s">
        <v>93</v>
      </c>
      <c r="S15" s="144" t="s">
        <v>93</v>
      </c>
      <c r="T15" s="144" t="s">
        <v>93</v>
      </c>
      <c r="U15" s="144" t="s">
        <v>93</v>
      </c>
      <c r="V15" s="144" t="s">
        <v>93</v>
      </c>
      <c r="W15" s="144" t="s">
        <v>93</v>
      </c>
      <c r="X15" s="144" t="s">
        <v>93</v>
      </c>
      <c r="Y15" s="144" t="s">
        <v>105</v>
      </c>
      <c r="Z15" s="144" t="s">
        <v>105</v>
      </c>
      <c r="AA15" s="138"/>
      <c r="AB15" s="138"/>
      <c r="AC15" s="149">
        <v>505103.03</v>
      </c>
      <c r="AD15" s="149">
        <f t="shared" si="1"/>
        <v>4040824.2400000012</v>
      </c>
      <c r="AE15" s="155">
        <v>0.8</v>
      </c>
      <c r="AF15" s="155">
        <v>0.2</v>
      </c>
      <c r="AG15" s="149">
        <f t="shared" si="2"/>
        <v>404082.42400000006</v>
      </c>
      <c r="AH15" s="149">
        <f t="shared" si="3"/>
        <v>101020.60600000001</v>
      </c>
      <c r="AI15" s="139"/>
      <c r="AJ15" s="11"/>
      <c r="AK15" s="12"/>
      <c r="AL15" s="17"/>
    </row>
    <row r="16" spans="1:43" ht="12.75" customHeight="1" x14ac:dyDescent="0.2">
      <c r="A16" s="153" t="s">
        <v>50</v>
      </c>
      <c r="B16" s="4"/>
      <c r="C16" s="5"/>
      <c r="D16" s="29">
        <v>2136</v>
      </c>
      <c r="E16" s="4" t="s">
        <v>90</v>
      </c>
      <c r="F16" s="4" t="s">
        <v>91</v>
      </c>
      <c r="G16" s="4">
        <v>2002</v>
      </c>
      <c r="H16" s="3" t="s">
        <v>106</v>
      </c>
      <c r="I16" s="13">
        <v>2002</v>
      </c>
      <c r="J16" s="13">
        <f t="shared" si="0"/>
        <v>17</v>
      </c>
      <c r="K16" s="13"/>
      <c r="L16" s="24">
        <v>37350</v>
      </c>
      <c r="M16" s="23">
        <v>1</v>
      </c>
      <c r="N16" s="16"/>
      <c r="O16" s="144">
        <v>1</v>
      </c>
      <c r="P16" s="144" t="s">
        <v>93</v>
      </c>
      <c r="Q16" s="144" t="s">
        <v>93</v>
      </c>
      <c r="R16" s="144" t="s">
        <v>93</v>
      </c>
      <c r="S16" s="144" t="s">
        <v>93</v>
      </c>
      <c r="T16" s="144" t="s">
        <v>93</v>
      </c>
      <c r="U16" s="144" t="s">
        <v>93</v>
      </c>
      <c r="V16" s="144" t="s">
        <v>93</v>
      </c>
      <c r="W16" s="144" t="s">
        <v>93</v>
      </c>
      <c r="X16" s="144" t="s">
        <v>93</v>
      </c>
      <c r="Y16" s="144" t="s">
        <v>107</v>
      </c>
      <c r="Z16" s="138" t="s">
        <v>108</v>
      </c>
      <c r="AA16" s="138"/>
      <c r="AB16" s="138"/>
      <c r="AC16" s="149">
        <v>505103.03</v>
      </c>
      <c r="AD16" s="149">
        <f t="shared" si="1"/>
        <v>4545927.2700000014</v>
      </c>
      <c r="AE16" s="155">
        <v>0.75</v>
      </c>
      <c r="AF16" s="155">
        <v>0.25</v>
      </c>
      <c r="AG16" s="149">
        <f>AE16*AC16</f>
        <v>378827.27250000002</v>
      </c>
      <c r="AH16" s="149">
        <f>AC16-AG16</f>
        <v>126275.75750000001</v>
      </c>
      <c r="AI16" s="139"/>
      <c r="AJ16" s="11"/>
      <c r="AK16" s="12"/>
      <c r="AL16" s="17"/>
    </row>
    <row r="17" spans="1:38" ht="12.75" customHeight="1" x14ac:dyDescent="0.2">
      <c r="A17" s="153" t="s">
        <v>52</v>
      </c>
      <c r="B17" s="4"/>
      <c r="C17" s="5"/>
      <c r="D17" s="29">
        <v>2137</v>
      </c>
      <c r="E17" s="4" t="s">
        <v>90</v>
      </c>
      <c r="F17" s="4" t="s">
        <v>91</v>
      </c>
      <c r="G17" s="4">
        <v>2002</v>
      </c>
      <c r="H17" s="3" t="s">
        <v>109</v>
      </c>
      <c r="I17" s="13">
        <v>2002</v>
      </c>
      <c r="J17" s="13">
        <f t="shared" si="0"/>
        <v>17</v>
      </c>
      <c r="K17" s="13"/>
      <c r="L17" s="24">
        <v>37368</v>
      </c>
      <c r="M17" s="23">
        <v>1</v>
      </c>
      <c r="N17" s="16"/>
      <c r="O17" s="144">
        <v>1</v>
      </c>
      <c r="P17" s="144" t="s">
        <v>93</v>
      </c>
      <c r="Q17" s="144" t="s">
        <v>93</v>
      </c>
      <c r="R17" s="144" t="s">
        <v>93</v>
      </c>
      <c r="S17" s="144" t="s">
        <v>93</v>
      </c>
      <c r="T17" s="144" t="s">
        <v>93</v>
      </c>
      <c r="U17" s="144" t="s">
        <v>93</v>
      </c>
      <c r="V17" s="144" t="s">
        <v>93</v>
      </c>
      <c r="W17" s="144" t="s">
        <v>93</v>
      </c>
      <c r="X17" s="144" t="s">
        <v>93</v>
      </c>
      <c r="Y17" s="144" t="s">
        <v>107</v>
      </c>
      <c r="Z17" s="138" t="s">
        <v>108</v>
      </c>
      <c r="AA17" s="157" t="s">
        <v>110</v>
      </c>
      <c r="AB17" s="45"/>
      <c r="AC17" s="149">
        <v>505103.03</v>
      </c>
      <c r="AD17" s="149">
        <f t="shared" si="1"/>
        <v>5051030.3000000017</v>
      </c>
      <c r="AE17" s="150">
        <v>0.75</v>
      </c>
      <c r="AF17" s="150">
        <v>0.25</v>
      </c>
      <c r="AG17" s="149">
        <f t="shared" ref="AG17:AG47" si="4">AE17*AC17</f>
        <v>378827.27250000002</v>
      </c>
      <c r="AH17" s="149">
        <f t="shared" ref="AH17:AH47" si="5">AC17-AG17</f>
        <v>126275.75750000001</v>
      </c>
      <c r="AI17" s="139"/>
      <c r="AJ17" s="11"/>
      <c r="AK17" s="12"/>
      <c r="AL17" s="17"/>
    </row>
    <row r="18" spans="1:38" ht="12.75" customHeight="1" x14ac:dyDescent="0.2">
      <c r="A18" s="153" t="s">
        <v>54</v>
      </c>
      <c r="B18" s="4"/>
      <c r="C18" s="5"/>
      <c r="D18" s="30">
        <v>4000</v>
      </c>
      <c r="E18" s="4" t="s">
        <v>90</v>
      </c>
      <c r="F18" s="4" t="s">
        <v>91</v>
      </c>
      <c r="G18" s="4">
        <v>2002</v>
      </c>
      <c r="H18" s="3" t="s">
        <v>111</v>
      </c>
      <c r="I18" s="13">
        <v>2002</v>
      </c>
      <c r="J18" s="13">
        <f t="shared" si="0"/>
        <v>17</v>
      </c>
      <c r="K18" s="13"/>
      <c r="L18" s="8">
        <v>37365</v>
      </c>
      <c r="M18" s="23">
        <v>1</v>
      </c>
      <c r="N18" s="16"/>
      <c r="O18" s="144">
        <v>1</v>
      </c>
      <c r="P18" s="144" t="s">
        <v>93</v>
      </c>
      <c r="Q18" s="144" t="s">
        <v>93</v>
      </c>
      <c r="R18" s="144" t="s">
        <v>93</v>
      </c>
      <c r="S18" s="144" t="s">
        <v>93</v>
      </c>
      <c r="T18" s="144" t="s">
        <v>93</v>
      </c>
      <c r="U18" s="144" t="s">
        <v>93</v>
      </c>
      <c r="V18" s="144" t="s">
        <v>93</v>
      </c>
      <c r="W18" s="144" t="s">
        <v>93</v>
      </c>
      <c r="X18" s="144" t="s">
        <v>93</v>
      </c>
      <c r="Y18" s="144" t="s">
        <v>107</v>
      </c>
      <c r="Z18" s="138" t="s">
        <v>108</v>
      </c>
      <c r="AA18" s="138"/>
      <c r="AB18" s="138"/>
      <c r="AC18" s="149">
        <v>505103.03</v>
      </c>
      <c r="AD18" s="149">
        <f t="shared" si="1"/>
        <v>5556133.3300000019</v>
      </c>
      <c r="AE18" s="150">
        <v>0.75</v>
      </c>
      <c r="AF18" s="150">
        <v>0.25</v>
      </c>
      <c r="AG18" s="149">
        <f t="shared" si="4"/>
        <v>378827.27250000002</v>
      </c>
      <c r="AH18" s="149">
        <f t="shared" si="5"/>
        <v>126275.75750000001</v>
      </c>
      <c r="AI18" s="139"/>
      <c r="AJ18" s="11"/>
      <c r="AK18" s="12"/>
      <c r="AL18" s="17"/>
    </row>
    <row r="19" spans="1:38" ht="12.75" customHeight="1" x14ac:dyDescent="0.2">
      <c r="A19" s="153" t="s">
        <v>56</v>
      </c>
      <c r="B19" s="4"/>
      <c r="C19" s="5"/>
      <c r="D19" s="29">
        <v>4001</v>
      </c>
      <c r="E19" s="4" t="s">
        <v>90</v>
      </c>
      <c r="F19" s="4" t="s">
        <v>103</v>
      </c>
      <c r="G19" s="4">
        <v>2004</v>
      </c>
      <c r="H19" s="3" t="s">
        <v>112</v>
      </c>
      <c r="I19" s="13">
        <v>2004</v>
      </c>
      <c r="J19" s="13">
        <f t="shared" si="0"/>
        <v>15</v>
      </c>
      <c r="K19" s="13"/>
      <c r="L19" s="8">
        <v>38182</v>
      </c>
      <c r="M19" s="23">
        <v>1</v>
      </c>
      <c r="N19" s="16"/>
      <c r="O19" s="144">
        <v>1</v>
      </c>
      <c r="P19" s="144" t="s">
        <v>93</v>
      </c>
      <c r="Q19" s="144" t="s">
        <v>93</v>
      </c>
      <c r="R19" s="144" t="s">
        <v>93</v>
      </c>
      <c r="S19" s="144" t="s">
        <v>93</v>
      </c>
      <c r="T19" s="144" t="s">
        <v>93</v>
      </c>
      <c r="U19" s="144" t="s">
        <v>93</v>
      </c>
      <c r="V19" s="144" t="s">
        <v>93</v>
      </c>
      <c r="W19" s="144" t="s">
        <v>93</v>
      </c>
      <c r="X19" s="144" t="s">
        <v>93</v>
      </c>
      <c r="Y19" s="144" t="s">
        <v>107</v>
      </c>
      <c r="Z19" s="138" t="s">
        <v>108</v>
      </c>
      <c r="AA19" s="138"/>
      <c r="AB19" s="138"/>
      <c r="AC19" s="149">
        <v>505103.03</v>
      </c>
      <c r="AD19" s="149">
        <f t="shared" si="1"/>
        <v>6061236.3600000022</v>
      </c>
      <c r="AE19" s="150">
        <v>0.75</v>
      </c>
      <c r="AF19" s="150">
        <v>0.25</v>
      </c>
      <c r="AG19" s="149">
        <f t="shared" si="4"/>
        <v>378827.27250000002</v>
      </c>
      <c r="AH19" s="149">
        <f t="shared" si="5"/>
        <v>126275.75750000001</v>
      </c>
      <c r="AI19" s="139"/>
      <c r="AJ19" s="11"/>
      <c r="AK19" s="12"/>
      <c r="AL19" s="17"/>
    </row>
    <row r="20" spans="1:38" ht="12.75" customHeight="1" x14ac:dyDescent="0.2">
      <c r="A20" s="153" t="s">
        <v>58</v>
      </c>
      <c r="B20" s="4"/>
      <c r="C20" s="5"/>
      <c r="D20" s="29">
        <v>4002</v>
      </c>
      <c r="E20" s="4" t="s">
        <v>90</v>
      </c>
      <c r="F20" s="4" t="s">
        <v>103</v>
      </c>
      <c r="G20" s="4">
        <v>2004</v>
      </c>
      <c r="H20" s="3" t="s">
        <v>113</v>
      </c>
      <c r="I20" s="13">
        <v>2004</v>
      </c>
      <c r="J20" s="13">
        <f t="shared" si="0"/>
        <v>15</v>
      </c>
      <c r="K20" s="13"/>
      <c r="L20" s="8">
        <v>38170</v>
      </c>
      <c r="M20" s="23">
        <v>1</v>
      </c>
      <c r="N20" s="40"/>
      <c r="O20" s="144">
        <v>1</v>
      </c>
      <c r="P20" s="144" t="s">
        <v>93</v>
      </c>
      <c r="Q20" s="144" t="s">
        <v>93</v>
      </c>
      <c r="R20" s="144" t="s">
        <v>93</v>
      </c>
      <c r="S20" s="144" t="s">
        <v>93</v>
      </c>
      <c r="T20" s="144" t="s">
        <v>93</v>
      </c>
      <c r="U20" s="144" t="s">
        <v>93</v>
      </c>
      <c r="V20" s="144" t="s">
        <v>93</v>
      </c>
      <c r="W20" s="144" t="s">
        <v>93</v>
      </c>
      <c r="X20" s="144" t="s">
        <v>93</v>
      </c>
      <c r="Y20" s="144" t="s">
        <v>107</v>
      </c>
      <c r="Z20" s="138" t="s">
        <v>108</v>
      </c>
      <c r="AA20" s="138"/>
      <c r="AB20" s="138"/>
      <c r="AC20" s="149">
        <v>505103.03</v>
      </c>
      <c r="AD20" s="149">
        <f t="shared" si="1"/>
        <v>6566339.3900000025</v>
      </c>
      <c r="AE20" s="150">
        <v>0.75</v>
      </c>
      <c r="AF20" s="150">
        <v>0.25</v>
      </c>
      <c r="AG20" s="149">
        <f t="shared" si="4"/>
        <v>378827.27250000002</v>
      </c>
      <c r="AH20" s="149">
        <f t="shared" si="5"/>
        <v>126275.75750000001</v>
      </c>
      <c r="AI20" s="139"/>
      <c r="AJ20" s="11"/>
      <c r="AK20" s="12"/>
      <c r="AL20" s="17"/>
    </row>
    <row r="21" spans="1:38" ht="12.75" customHeight="1" x14ac:dyDescent="0.2">
      <c r="A21" s="153" t="s">
        <v>60</v>
      </c>
      <c r="B21" s="4"/>
      <c r="C21" s="5"/>
      <c r="D21" s="29">
        <v>4003</v>
      </c>
      <c r="E21" s="4" t="s">
        <v>90</v>
      </c>
      <c r="F21" s="4" t="s">
        <v>103</v>
      </c>
      <c r="G21" s="4">
        <v>2004</v>
      </c>
      <c r="H21" s="3" t="s">
        <v>114</v>
      </c>
      <c r="I21" s="13">
        <v>2004</v>
      </c>
      <c r="J21" s="13">
        <f t="shared" si="0"/>
        <v>15</v>
      </c>
      <c r="K21" s="13"/>
      <c r="L21" s="8">
        <v>38175</v>
      </c>
      <c r="M21" s="23">
        <v>1</v>
      </c>
      <c r="N21" s="16"/>
      <c r="O21" s="144">
        <v>1</v>
      </c>
      <c r="P21" s="144" t="s">
        <v>93</v>
      </c>
      <c r="Q21" s="144" t="s">
        <v>93</v>
      </c>
      <c r="R21" s="144" t="s">
        <v>93</v>
      </c>
      <c r="S21" s="144" t="s">
        <v>93</v>
      </c>
      <c r="T21" s="144" t="s">
        <v>93</v>
      </c>
      <c r="U21" s="144" t="s">
        <v>93</v>
      </c>
      <c r="V21" s="144" t="s">
        <v>93</v>
      </c>
      <c r="W21" s="144" t="s">
        <v>93</v>
      </c>
      <c r="X21" s="144" t="s">
        <v>93</v>
      </c>
      <c r="Y21" s="144" t="s">
        <v>107</v>
      </c>
      <c r="Z21" s="138" t="s">
        <v>108</v>
      </c>
      <c r="AA21" s="138"/>
      <c r="AB21" s="138"/>
      <c r="AC21" s="149">
        <v>505103.03</v>
      </c>
      <c r="AD21" s="149">
        <f t="shared" si="1"/>
        <v>7071442.4200000027</v>
      </c>
      <c r="AE21" s="150">
        <v>0.75</v>
      </c>
      <c r="AF21" s="150">
        <v>0.25</v>
      </c>
      <c r="AG21" s="149">
        <f t="shared" si="4"/>
        <v>378827.27250000002</v>
      </c>
      <c r="AH21" s="149">
        <f t="shared" si="5"/>
        <v>126275.75750000001</v>
      </c>
      <c r="AI21" s="139"/>
      <c r="AJ21" s="11"/>
      <c r="AK21" s="12"/>
      <c r="AL21" s="17"/>
    </row>
    <row r="22" spans="1:38" ht="12.75" customHeight="1" x14ac:dyDescent="0.2">
      <c r="A22" s="153" t="s">
        <v>115</v>
      </c>
      <c r="B22" s="4"/>
      <c r="C22" s="5"/>
      <c r="D22" s="29">
        <v>4004</v>
      </c>
      <c r="E22" s="4" t="s">
        <v>90</v>
      </c>
      <c r="F22" s="4" t="s">
        <v>103</v>
      </c>
      <c r="G22" s="4">
        <v>2004</v>
      </c>
      <c r="H22" s="3" t="s">
        <v>116</v>
      </c>
      <c r="I22" s="13">
        <v>2004</v>
      </c>
      <c r="J22" s="13">
        <f t="shared" si="0"/>
        <v>15</v>
      </c>
      <c r="K22" s="13"/>
      <c r="L22" s="8">
        <v>38182</v>
      </c>
      <c r="M22" s="23">
        <v>1</v>
      </c>
      <c r="N22" s="16"/>
      <c r="O22" s="144">
        <v>1</v>
      </c>
      <c r="P22" s="144" t="s">
        <v>93</v>
      </c>
      <c r="Q22" s="144" t="s">
        <v>93</v>
      </c>
      <c r="R22" s="144" t="s">
        <v>93</v>
      </c>
      <c r="S22" s="144" t="s">
        <v>93</v>
      </c>
      <c r="T22" s="144" t="s">
        <v>93</v>
      </c>
      <c r="U22" s="144" t="s">
        <v>93</v>
      </c>
      <c r="V22" s="144" t="s">
        <v>93</v>
      </c>
      <c r="W22" s="144" t="s">
        <v>93</v>
      </c>
      <c r="X22" s="144" t="s">
        <v>93</v>
      </c>
      <c r="Y22" s="144" t="s">
        <v>107</v>
      </c>
      <c r="Z22" s="138" t="s">
        <v>108</v>
      </c>
      <c r="AA22" s="138"/>
      <c r="AB22" s="138"/>
      <c r="AC22" s="149">
        <v>505103.03</v>
      </c>
      <c r="AD22" s="149">
        <f t="shared" si="1"/>
        <v>7576545.450000003</v>
      </c>
      <c r="AE22" s="150">
        <v>0.75</v>
      </c>
      <c r="AF22" s="150">
        <v>0.25</v>
      </c>
      <c r="AG22" s="149">
        <f t="shared" si="4"/>
        <v>378827.27250000002</v>
      </c>
      <c r="AH22" s="149">
        <f t="shared" si="5"/>
        <v>126275.75750000001</v>
      </c>
      <c r="AI22" s="139"/>
      <c r="AJ22" s="11"/>
      <c r="AK22" s="12"/>
      <c r="AL22" s="17"/>
    </row>
    <row r="23" spans="1:38" ht="12.75" customHeight="1" x14ac:dyDescent="0.2">
      <c r="A23" s="153" t="s">
        <v>117</v>
      </c>
      <c r="B23" s="4"/>
      <c r="C23" s="5"/>
      <c r="D23" s="4">
        <v>4005</v>
      </c>
      <c r="E23" s="4" t="s">
        <v>90</v>
      </c>
      <c r="F23" s="4" t="s">
        <v>103</v>
      </c>
      <c r="G23" s="4">
        <v>2004</v>
      </c>
      <c r="H23" s="3" t="s">
        <v>118</v>
      </c>
      <c r="I23" s="13">
        <v>2004</v>
      </c>
      <c r="J23" s="13">
        <f t="shared" si="0"/>
        <v>15</v>
      </c>
      <c r="K23" s="13">
        <v>2016</v>
      </c>
      <c r="L23" s="24">
        <v>38183</v>
      </c>
      <c r="M23" s="23">
        <v>1</v>
      </c>
      <c r="N23" s="16"/>
      <c r="O23" s="144">
        <v>1</v>
      </c>
      <c r="P23" s="144" t="s">
        <v>93</v>
      </c>
      <c r="Q23" s="144" t="s">
        <v>93</v>
      </c>
      <c r="R23" s="144" t="s">
        <v>93</v>
      </c>
      <c r="S23" s="144" t="s">
        <v>93</v>
      </c>
      <c r="T23" s="144" t="s">
        <v>93</v>
      </c>
      <c r="U23" s="144" t="s">
        <v>93</v>
      </c>
      <c r="V23" s="144" t="s">
        <v>93</v>
      </c>
      <c r="W23" s="144" t="s">
        <v>93</v>
      </c>
      <c r="X23" s="144" t="s">
        <v>93</v>
      </c>
      <c r="Y23" s="144" t="s">
        <v>119</v>
      </c>
      <c r="Z23" s="138" t="s">
        <v>120</v>
      </c>
      <c r="AA23" s="138"/>
      <c r="AB23" s="138"/>
      <c r="AC23" s="149">
        <v>505103.03</v>
      </c>
      <c r="AD23" s="149">
        <f t="shared" si="1"/>
        <v>8081648.4800000032</v>
      </c>
      <c r="AE23" s="150">
        <v>0.6</v>
      </c>
      <c r="AF23" s="150">
        <v>0.4</v>
      </c>
      <c r="AG23" s="149">
        <f t="shared" si="4"/>
        <v>303061.81800000003</v>
      </c>
      <c r="AH23" s="149">
        <f t="shared" si="5"/>
        <v>202041.212</v>
      </c>
      <c r="AI23" s="139"/>
      <c r="AJ23" s="11"/>
      <c r="AK23" s="12"/>
      <c r="AL23" s="17"/>
    </row>
    <row r="24" spans="1:38" ht="12.75" customHeight="1" x14ac:dyDescent="0.2">
      <c r="A24" s="153" t="s">
        <v>121</v>
      </c>
      <c r="B24" s="4"/>
      <c r="C24" s="5"/>
      <c r="D24" s="29">
        <v>4006</v>
      </c>
      <c r="E24" s="4" t="s">
        <v>90</v>
      </c>
      <c r="F24" s="4" t="s">
        <v>103</v>
      </c>
      <c r="G24" s="4">
        <v>2004</v>
      </c>
      <c r="H24" s="3" t="s">
        <v>122</v>
      </c>
      <c r="I24" s="13">
        <v>2004</v>
      </c>
      <c r="J24" s="13">
        <f t="shared" si="0"/>
        <v>15</v>
      </c>
      <c r="K24" s="13"/>
      <c r="L24" s="8">
        <v>38182</v>
      </c>
      <c r="M24" s="23">
        <v>1</v>
      </c>
      <c r="N24" s="16"/>
      <c r="O24" s="144">
        <v>1</v>
      </c>
      <c r="P24" s="144" t="s">
        <v>93</v>
      </c>
      <c r="Q24" s="144" t="s">
        <v>93</v>
      </c>
      <c r="R24" s="144" t="s">
        <v>93</v>
      </c>
      <c r="S24" s="144" t="s">
        <v>93</v>
      </c>
      <c r="T24" s="144" t="s">
        <v>93</v>
      </c>
      <c r="U24" s="144" t="s">
        <v>93</v>
      </c>
      <c r="V24" s="144" t="s">
        <v>93</v>
      </c>
      <c r="W24" s="144" t="s">
        <v>93</v>
      </c>
      <c r="X24" s="144" t="s">
        <v>93</v>
      </c>
      <c r="Y24" s="144" t="s">
        <v>123</v>
      </c>
      <c r="Z24" s="138" t="s">
        <v>124</v>
      </c>
      <c r="AA24" s="138">
        <v>106797</v>
      </c>
      <c r="AB24" s="45"/>
      <c r="AC24" s="149">
        <v>505103.03</v>
      </c>
      <c r="AD24" s="149">
        <f t="shared" si="1"/>
        <v>8586751.5100000035</v>
      </c>
      <c r="AE24" s="150">
        <v>0.6</v>
      </c>
      <c r="AF24" s="150">
        <v>0.4</v>
      </c>
      <c r="AG24" s="149">
        <f t="shared" si="4"/>
        <v>303061.81800000003</v>
      </c>
      <c r="AH24" s="149">
        <f t="shared" si="5"/>
        <v>202041.212</v>
      </c>
      <c r="AI24" s="139"/>
      <c r="AJ24" s="11"/>
      <c r="AK24" s="12"/>
      <c r="AL24" s="17"/>
    </row>
    <row r="25" spans="1:38" ht="12.75" customHeight="1" x14ac:dyDescent="0.2">
      <c r="A25" s="153" t="s">
        <v>125</v>
      </c>
      <c r="B25" s="4"/>
      <c r="C25" s="5"/>
      <c r="D25" s="29">
        <v>4007</v>
      </c>
      <c r="E25" s="4" t="s">
        <v>90</v>
      </c>
      <c r="F25" s="4" t="s">
        <v>103</v>
      </c>
      <c r="G25" s="4">
        <v>2004</v>
      </c>
      <c r="H25" s="3" t="s">
        <v>126</v>
      </c>
      <c r="I25" s="13">
        <v>2004</v>
      </c>
      <c r="J25" s="13">
        <f t="shared" si="0"/>
        <v>15</v>
      </c>
      <c r="K25" s="13"/>
      <c r="L25" s="8">
        <v>38176</v>
      </c>
      <c r="M25" s="23">
        <v>1</v>
      </c>
      <c r="N25" s="16"/>
      <c r="O25" s="144">
        <v>1</v>
      </c>
      <c r="P25" s="144" t="s">
        <v>93</v>
      </c>
      <c r="Q25" s="144" t="s">
        <v>93</v>
      </c>
      <c r="R25" s="144" t="s">
        <v>93</v>
      </c>
      <c r="S25" s="144" t="s">
        <v>93</v>
      </c>
      <c r="T25" s="144" t="s">
        <v>93</v>
      </c>
      <c r="U25" s="144" t="s">
        <v>93</v>
      </c>
      <c r="V25" s="144" t="s">
        <v>93</v>
      </c>
      <c r="W25" s="144" t="s">
        <v>93</v>
      </c>
      <c r="X25" s="144" t="s">
        <v>93</v>
      </c>
      <c r="Y25" s="144" t="s">
        <v>123</v>
      </c>
      <c r="Z25" s="138" t="s">
        <v>124</v>
      </c>
      <c r="AA25" s="138"/>
      <c r="AB25" s="45"/>
      <c r="AC25" s="149">
        <v>505103.03</v>
      </c>
      <c r="AD25" s="149">
        <f t="shared" si="1"/>
        <v>9091854.5400000028</v>
      </c>
      <c r="AE25" s="150">
        <v>0.6</v>
      </c>
      <c r="AF25" s="150">
        <v>0.4</v>
      </c>
      <c r="AG25" s="149">
        <f t="shared" si="4"/>
        <v>303061.81800000003</v>
      </c>
      <c r="AH25" s="149">
        <f t="shared" si="5"/>
        <v>202041.212</v>
      </c>
      <c r="AI25" s="139"/>
      <c r="AJ25" s="11"/>
      <c r="AK25" s="12"/>
      <c r="AL25" s="17"/>
    </row>
    <row r="26" spans="1:38" ht="12.75" customHeight="1" x14ac:dyDescent="0.2">
      <c r="A26" s="153" t="s">
        <v>127</v>
      </c>
      <c r="B26" s="4"/>
      <c r="C26" s="5"/>
      <c r="D26" s="29">
        <v>4008</v>
      </c>
      <c r="E26" s="4" t="s">
        <v>90</v>
      </c>
      <c r="F26" s="4" t="s">
        <v>103</v>
      </c>
      <c r="G26" s="4">
        <v>2004</v>
      </c>
      <c r="H26" s="3" t="s">
        <v>128</v>
      </c>
      <c r="I26" s="13">
        <v>2004</v>
      </c>
      <c r="J26" s="13">
        <f t="shared" si="0"/>
        <v>15</v>
      </c>
      <c r="K26" s="13"/>
      <c r="L26" s="8">
        <v>38183</v>
      </c>
      <c r="M26" s="23">
        <v>1</v>
      </c>
      <c r="N26" s="16"/>
      <c r="O26" s="144">
        <v>1</v>
      </c>
      <c r="P26" s="144" t="s">
        <v>93</v>
      </c>
      <c r="Q26" s="144" t="s">
        <v>93</v>
      </c>
      <c r="R26" s="144" t="s">
        <v>93</v>
      </c>
      <c r="S26" s="144" t="s">
        <v>93</v>
      </c>
      <c r="T26" s="144" t="s">
        <v>93</v>
      </c>
      <c r="U26" s="144" t="s">
        <v>93</v>
      </c>
      <c r="V26" s="144" t="s">
        <v>93</v>
      </c>
      <c r="W26" s="144" t="s">
        <v>93</v>
      </c>
      <c r="X26" s="144" t="s">
        <v>93</v>
      </c>
      <c r="Y26" s="144" t="s">
        <v>129</v>
      </c>
      <c r="Z26" s="138" t="s">
        <v>124</v>
      </c>
      <c r="AA26" s="138"/>
      <c r="AB26" s="45"/>
      <c r="AC26" s="149">
        <v>505103.03</v>
      </c>
      <c r="AD26" s="149">
        <f t="shared" si="1"/>
        <v>9596957.5700000022</v>
      </c>
      <c r="AE26" s="150">
        <v>0.6</v>
      </c>
      <c r="AF26" s="150">
        <v>0.4</v>
      </c>
      <c r="AG26" s="149">
        <f t="shared" si="4"/>
        <v>303061.81800000003</v>
      </c>
      <c r="AH26" s="149">
        <f t="shared" si="5"/>
        <v>202041.212</v>
      </c>
      <c r="AI26" s="139"/>
      <c r="AJ26" s="11"/>
      <c r="AK26" s="12"/>
      <c r="AL26" s="17"/>
    </row>
    <row r="27" spans="1:38" ht="12.75" customHeight="1" x14ac:dyDescent="0.2">
      <c r="A27" s="153" t="s">
        <v>130</v>
      </c>
      <c r="B27" s="4"/>
      <c r="C27" s="5"/>
      <c r="D27" s="29">
        <v>4009</v>
      </c>
      <c r="E27" s="4" t="s">
        <v>90</v>
      </c>
      <c r="F27" s="4" t="s">
        <v>103</v>
      </c>
      <c r="G27" s="4">
        <v>2004</v>
      </c>
      <c r="H27" s="3" t="s">
        <v>131</v>
      </c>
      <c r="I27" s="13">
        <v>2004</v>
      </c>
      <c r="J27" s="13">
        <f t="shared" si="0"/>
        <v>15</v>
      </c>
      <c r="K27" s="13"/>
      <c r="L27" s="8">
        <v>38182</v>
      </c>
      <c r="M27" s="23">
        <v>1</v>
      </c>
      <c r="N27" s="16"/>
      <c r="O27" s="23">
        <v>1</v>
      </c>
      <c r="P27" s="16"/>
      <c r="Q27" s="16"/>
      <c r="R27" s="16"/>
      <c r="S27" s="16"/>
      <c r="T27" s="16"/>
      <c r="U27" s="16"/>
      <c r="V27" s="49" t="s">
        <v>132</v>
      </c>
      <c r="W27" s="49"/>
      <c r="X27" s="13"/>
      <c r="Y27" s="138" t="s">
        <v>133</v>
      </c>
      <c r="Z27" s="138" t="s">
        <v>134</v>
      </c>
      <c r="AA27" s="138">
        <v>99801</v>
      </c>
      <c r="AB27" s="138"/>
      <c r="AC27" s="149">
        <v>505103.03</v>
      </c>
      <c r="AD27" s="149">
        <f t="shared" si="1"/>
        <v>10102060.600000001</v>
      </c>
      <c r="AE27" s="150">
        <v>0.8</v>
      </c>
      <c r="AF27" s="150">
        <v>0.2</v>
      </c>
      <c r="AG27" s="149">
        <f t="shared" si="4"/>
        <v>404082.42400000006</v>
      </c>
      <c r="AH27" s="149">
        <f t="shared" si="5"/>
        <v>101020.60599999997</v>
      </c>
      <c r="AI27" s="156" t="s">
        <v>96</v>
      </c>
      <c r="AJ27" s="11"/>
      <c r="AK27" s="12"/>
      <c r="AL27" s="17"/>
    </row>
    <row r="28" spans="1:38" ht="12.75" customHeight="1" x14ac:dyDescent="0.2">
      <c r="A28" s="153" t="s">
        <v>135</v>
      </c>
      <c r="B28" s="4"/>
      <c r="C28" s="5"/>
      <c r="D28" s="29">
        <v>4010</v>
      </c>
      <c r="E28" s="4" t="s">
        <v>90</v>
      </c>
      <c r="F28" s="4" t="s">
        <v>103</v>
      </c>
      <c r="G28" s="4">
        <v>2004</v>
      </c>
      <c r="H28" s="3" t="s">
        <v>136</v>
      </c>
      <c r="I28" s="13">
        <v>2004</v>
      </c>
      <c r="J28" s="13">
        <f t="shared" si="0"/>
        <v>15</v>
      </c>
      <c r="K28" s="13"/>
      <c r="L28" s="8">
        <v>38184</v>
      </c>
      <c r="M28" s="23">
        <v>1</v>
      </c>
      <c r="N28" s="16"/>
      <c r="O28" s="23">
        <v>1</v>
      </c>
      <c r="P28" s="16"/>
      <c r="Q28" s="16"/>
      <c r="R28" s="16"/>
      <c r="S28" s="16"/>
      <c r="T28" s="16"/>
      <c r="U28" s="16"/>
      <c r="V28" s="49" t="s">
        <v>132</v>
      </c>
      <c r="W28" s="49"/>
      <c r="X28" s="13"/>
      <c r="Y28" s="138" t="s">
        <v>133</v>
      </c>
      <c r="Z28" s="138" t="s">
        <v>134</v>
      </c>
      <c r="AA28" s="7"/>
      <c r="AB28" s="45"/>
      <c r="AC28" s="149">
        <v>505103.03</v>
      </c>
      <c r="AD28" s="149">
        <f t="shared" si="1"/>
        <v>10607163.630000001</v>
      </c>
      <c r="AE28" s="150">
        <v>0.8</v>
      </c>
      <c r="AF28" s="150">
        <v>0.2</v>
      </c>
      <c r="AG28" s="149">
        <f t="shared" si="4"/>
        <v>404082.42400000006</v>
      </c>
      <c r="AH28" s="149">
        <f t="shared" si="5"/>
        <v>101020.60599999997</v>
      </c>
      <c r="AI28" s="156" t="s">
        <v>96</v>
      </c>
      <c r="AJ28" s="11"/>
      <c r="AK28" s="12"/>
      <c r="AL28" s="17"/>
    </row>
    <row r="29" spans="1:38" ht="12.75" customHeight="1" x14ac:dyDescent="0.2">
      <c r="A29" s="153" t="s">
        <v>137</v>
      </c>
      <c r="B29" s="4"/>
      <c r="C29" s="5"/>
      <c r="D29" s="29">
        <v>4011</v>
      </c>
      <c r="E29" s="4" t="s">
        <v>90</v>
      </c>
      <c r="F29" s="4" t="s">
        <v>103</v>
      </c>
      <c r="G29" s="4">
        <v>2004</v>
      </c>
      <c r="H29" s="3" t="s">
        <v>138</v>
      </c>
      <c r="I29" s="13">
        <v>2004</v>
      </c>
      <c r="J29" s="13">
        <f t="shared" si="0"/>
        <v>15</v>
      </c>
      <c r="K29" s="13"/>
      <c r="L29" s="8">
        <v>38184</v>
      </c>
      <c r="M29" s="23">
        <v>1</v>
      </c>
      <c r="N29" s="16"/>
      <c r="O29" s="23">
        <v>1</v>
      </c>
      <c r="P29" s="16"/>
      <c r="Q29" s="16"/>
      <c r="R29" s="16"/>
      <c r="S29" s="16"/>
      <c r="T29" s="16"/>
      <c r="U29" s="16"/>
      <c r="V29" s="49" t="s">
        <v>132</v>
      </c>
      <c r="W29" s="49"/>
      <c r="X29" s="13"/>
      <c r="Y29" s="138" t="s">
        <v>133</v>
      </c>
      <c r="Z29" s="138" t="s">
        <v>134</v>
      </c>
      <c r="AA29" s="138"/>
      <c r="AB29" s="138"/>
      <c r="AC29" s="149">
        <v>505103.03</v>
      </c>
      <c r="AD29" s="149">
        <f t="shared" si="1"/>
        <v>11112266.66</v>
      </c>
      <c r="AE29" s="150">
        <v>0.8</v>
      </c>
      <c r="AF29" s="150">
        <v>0.2</v>
      </c>
      <c r="AG29" s="149">
        <f t="shared" si="4"/>
        <v>404082.42400000006</v>
      </c>
      <c r="AH29" s="149">
        <f t="shared" si="5"/>
        <v>101020.60599999997</v>
      </c>
      <c r="AI29" s="156" t="s">
        <v>96</v>
      </c>
      <c r="AJ29" s="11"/>
      <c r="AK29" s="12"/>
      <c r="AL29" s="17"/>
    </row>
    <row r="30" spans="1:38" ht="12.75" customHeight="1" x14ac:dyDescent="0.2">
      <c r="A30" s="153" t="s">
        <v>139</v>
      </c>
      <c r="B30" s="4"/>
      <c r="C30" s="5"/>
      <c r="D30" s="29">
        <v>4012</v>
      </c>
      <c r="E30" s="4" t="s">
        <v>90</v>
      </c>
      <c r="F30" s="4" t="s">
        <v>103</v>
      </c>
      <c r="G30" s="4">
        <v>2004</v>
      </c>
      <c r="H30" s="3" t="s">
        <v>140</v>
      </c>
      <c r="I30" s="13">
        <v>2004</v>
      </c>
      <c r="J30" s="13">
        <f t="shared" si="0"/>
        <v>15</v>
      </c>
      <c r="K30" s="13"/>
      <c r="L30" s="8">
        <v>38189</v>
      </c>
      <c r="M30" s="23">
        <v>1</v>
      </c>
      <c r="N30" s="16"/>
      <c r="O30" s="23">
        <v>1</v>
      </c>
      <c r="P30" s="16"/>
      <c r="Q30" s="16"/>
      <c r="R30" s="16"/>
      <c r="S30" s="16"/>
      <c r="T30" s="16"/>
      <c r="U30" s="16"/>
      <c r="V30" s="49" t="s">
        <v>132</v>
      </c>
      <c r="W30" s="49"/>
      <c r="X30" s="13"/>
      <c r="Y30" s="138" t="s">
        <v>133</v>
      </c>
      <c r="Z30" s="138" t="s">
        <v>134</v>
      </c>
      <c r="AA30" s="138"/>
      <c r="AB30" s="138"/>
      <c r="AC30" s="149">
        <v>505103.03</v>
      </c>
      <c r="AD30" s="149">
        <f t="shared" si="1"/>
        <v>11617369.689999999</v>
      </c>
      <c r="AE30" s="150">
        <v>0.8</v>
      </c>
      <c r="AF30" s="150">
        <v>0.2</v>
      </c>
      <c r="AG30" s="149">
        <f t="shared" si="4"/>
        <v>404082.42400000006</v>
      </c>
      <c r="AH30" s="149">
        <f t="shared" si="5"/>
        <v>101020.60599999997</v>
      </c>
      <c r="AI30" s="156" t="s">
        <v>96</v>
      </c>
      <c r="AJ30" s="11"/>
      <c r="AK30" s="12"/>
      <c r="AL30" s="17"/>
    </row>
    <row r="31" spans="1:38" ht="12.75" customHeight="1" x14ac:dyDescent="0.2">
      <c r="A31" s="153" t="s">
        <v>141</v>
      </c>
      <c r="B31" s="4"/>
      <c r="C31" s="5"/>
      <c r="D31" s="29">
        <v>4013</v>
      </c>
      <c r="E31" s="4" t="s">
        <v>90</v>
      </c>
      <c r="F31" s="4" t="s">
        <v>103</v>
      </c>
      <c r="G31" s="4">
        <v>2004</v>
      </c>
      <c r="H31" s="3" t="s">
        <v>142</v>
      </c>
      <c r="I31" s="13">
        <v>2004</v>
      </c>
      <c r="J31" s="13">
        <f t="shared" si="0"/>
        <v>15</v>
      </c>
      <c r="K31" s="13"/>
      <c r="L31" s="8">
        <v>38194</v>
      </c>
      <c r="M31" s="23">
        <v>1</v>
      </c>
      <c r="N31" s="16"/>
      <c r="O31" s="23">
        <v>1</v>
      </c>
      <c r="P31" s="16"/>
      <c r="Q31" s="16"/>
      <c r="R31" s="16"/>
      <c r="S31" s="16"/>
      <c r="T31" s="16"/>
      <c r="U31" s="16"/>
      <c r="V31" s="49" t="s">
        <v>132</v>
      </c>
      <c r="W31" s="49"/>
      <c r="X31" s="13"/>
      <c r="Y31" s="138" t="s">
        <v>133</v>
      </c>
      <c r="Z31" s="138" t="s">
        <v>134</v>
      </c>
      <c r="AA31" s="138"/>
      <c r="AB31" s="138"/>
      <c r="AC31" s="149">
        <v>505103.03</v>
      </c>
      <c r="AD31" s="149">
        <f t="shared" si="1"/>
        <v>12122472.719999999</v>
      </c>
      <c r="AE31" s="150">
        <v>0.8</v>
      </c>
      <c r="AF31" s="150">
        <v>0.2</v>
      </c>
      <c r="AG31" s="149">
        <f t="shared" si="4"/>
        <v>404082.42400000006</v>
      </c>
      <c r="AH31" s="149">
        <f t="shared" si="5"/>
        <v>101020.60599999997</v>
      </c>
      <c r="AI31" s="156" t="s">
        <v>96</v>
      </c>
      <c r="AJ31" s="11"/>
      <c r="AK31" s="12"/>
      <c r="AL31" s="17"/>
    </row>
    <row r="32" spans="1:38" ht="12.75" customHeight="1" x14ac:dyDescent="0.2">
      <c r="A32" s="153" t="s">
        <v>143</v>
      </c>
      <c r="B32" s="4"/>
      <c r="C32" s="5"/>
      <c r="D32" s="29">
        <v>4014</v>
      </c>
      <c r="E32" s="4" t="s">
        <v>90</v>
      </c>
      <c r="F32" s="4" t="s">
        <v>103</v>
      </c>
      <c r="G32" s="4">
        <v>2004</v>
      </c>
      <c r="H32" s="3" t="s">
        <v>144</v>
      </c>
      <c r="I32" s="13">
        <v>2004</v>
      </c>
      <c r="J32" s="13">
        <f t="shared" si="0"/>
        <v>15</v>
      </c>
      <c r="K32" s="13"/>
      <c r="L32" s="8">
        <v>38176</v>
      </c>
      <c r="M32" s="23">
        <v>1</v>
      </c>
      <c r="N32" s="16"/>
      <c r="O32" s="23">
        <v>1</v>
      </c>
      <c r="P32" s="16"/>
      <c r="Q32" s="16"/>
      <c r="R32" s="16"/>
      <c r="S32" s="16"/>
      <c r="T32" s="16"/>
      <c r="U32" s="16"/>
      <c r="V32" s="49" t="s">
        <v>132</v>
      </c>
      <c r="W32" s="49"/>
      <c r="X32" s="13"/>
      <c r="Y32" s="138" t="s">
        <v>133</v>
      </c>
      <c r="Z32" s="138" t="s">
        <v>134</v>
      </c>
      <c r="AA32" s="138"/>
      <c r="AB32" s="138"/>
      <c r="AC32" s="149">
        <v>505103.03</v>
      </c>
      <c r="AD32" s="149">
        <f t="shared" si="1"/>
        <v>12627575.749999998</v>
      </c>
      <c r="AE32" s="150">
        <v>0.8</v>
      </c>
      <c r="AF32" s="150">
        <v>0.2</v>
      </c>
      <c r="AG32" s="149">
        <f t="shared" si="4"/>
        <v>404082.42400000006</v>
      </c>
      <c r="AH32" s="149">
        <f t="shared" si="5"/>
        <v>101020.60599999997</v>
      </c>
      <c r="AI32" s="156" t="s">
        <v>96</v>
      </c>
      <c r="AJ32" s="11"/>
      <c r="AK32" s="12"/>
      <c r="AL32" s="17"/>
    </row>
    <row r="33" spans="1:40" ht="12.75" customHeight="1" x14ac:dyDescent="0.2">
      <c r="A33" s="153" t="s">
        <v>145</v>
      </c>
      <c r="B33" s="4"/>
      <c r="C33" s="5"/>
      <c r="D33" s="29">
        <v>4015</v>
      </c>
      <c r="E33" s="4" t="s">
        <v>90</v>
      </c>
      <c r="F33" s="4" t="s">
        <v>103</v>
      </c>
      <c r="G33" s="4">
        <v>2004</v>
      </c>
      <c r="H33" s="3" t="s">
        <v>146</v>
      </c>
      <c r="I33" s="13">
        <v>2004</v>
      </c>
      <c r="J33" s="13">
        <f t="shared" si="0"/>
        <v>15</v>
      </c>
      <c r="K33" s="13"/>
      <c r="L33" s="8">
        <v>38184</v>
      </c>
      <c r="M33" s="23">
        <v>1</v>
      </c>
      <c r="N33" s="16"/>
      <c r="O33" s="23">
        <v>1</v>
      </c>
      <c r="P33" s="16"/>
      <c r="Q33" s="16"/>
      <c r="R33" s="16"/>
      <c r="S33" s="16"/>
      <c r="T33" s="16"/>
      <c r="U33" s="16"/>
      <c r="V33" s="49" t="s">
        <v>132</v>
      </c>
      <c r="W33" s="49"/>
      <c r="X33" s="13"/>
      <c r="Y33" s="138" t="s">
        <v>133</v>
      </c>
      <c r="Z33" s="138" t="s">
        <v>134</v>
      </c>
      <c r="AA33" s="138"/>
      <c r="AB33" s="138"/>
      <c r="AC33" s="149">
        <v>505103.03</v>
      </c>
      <c r="AD33" s="149">
        <f t="shared" si="1"/>
        <v>13132678.779999997</v>
      </c>
      <c r="AE33" s="150">
        <v>0.8</v>
      </c>
      <c r="AF33" s="150">
        <v>0.2</v>
      </c>
      <c r="AG33" s="149">
        <f t="shared" si="4"/>
        <v>404082.42400000006</v>
      </c>
      <c r="AH33" s="149">
        <f t="shared" si="5"/>
        <v>101020.60599999997</v>
      </c>
      <c r="AI33" s="156" t="s">
        <v>96</v>
      </c>
      <c r="AJ33" s="11"/>
      <c r="AK33" s="12"/>
      <c r="AL33" s="17"/>
    </row>
    <row r="34" spans="1:40" ht="12.75" customHeight="1" x14ac:dyDescent="0.2">
      <c r="A34" s="153" t="s">
        <v>147</v>
      </c>
      <c r="B34" s="4"/>
      <c r="C34" s="5"/>
      <c r="D34" s="29">
        <v>4016</v>
      </c>
      <c r="E34" s="4" t="s">
        <v>90</v>
      </c>
      <c r="F34" s="4" t="s">
        <v>103</v>
      </c>
      <c r="G34" s="4">
        <v>2004</v>
      </c>
      <c r="H34" s="3" t="s">
        <v>148</v>
      </c>
      <c r="I34" s="13">
        <v>2004</v>
      </c>
      <c r="J34" s="13">
        <f t="shared" si="0"/>
        <v>15</v>
      </c>
      <c r="K34" s="13"/>
      <c r="L34" s="8">
        <v>38187</v>
      </c>
      <c r="M34" s="23">
        <v>1</v>
      </c>
      <c r="N34" s="16"/>
      <c r="O34" s="23">
        <v>1</v>
      </c>
      <c r="P34" s="16"/>
      <c r="Q34" s="16"/>
      <c r="R34" s="16"/>
      <c r="S34" s="16"/>
      <c r="T34" s="16"/>
      <c r="U34" s="16"/>
      <c r="V34" s="49" t="s">
        <v>132</v>
      </c>
      <c r="W34" s="49"/>
      <c r="X34" s="13"/>
      <c r="Y34" s="138" t="s">
        <v>133</v>
      </c>
      <c r="Z34" s="138" t="s">
        <v>134</v>
      </c>
      <c r="AA34" s="138"/>
      <c r="AB34" s="138"/>
      <c r="AC34" s="149">
        <v>505103.03</v>
      </c>
      <c r="AD34" s="149">
        <f t="shared" si="1"/>
        <v>13637781.809999997</v>
      </c>
      <c r="AE34" s="150">
        <v>0.8</v>
      </c>
      <c r="AF34" s="150">
        <v>0.2</v>
      </c>
      <c r="AG34" s="149">
        <f t="shared" si="4"/>
        <v>404082.42400000006</v>
      </c>
      <c r="AH34" s="149">
        <f t="shared" si="5"/>
        <v>101020.60599999997</v>
      </c>
      <c r="AI34" s="156" t="s">
        <v>96</v>
      </c>
      <c r="AJ34" s="11"/>
      <c r="AK34" s="12"/>
      <c r="AL34" s="17"/>
    </row>
    <row r="35" spans="1:40" ht="12.75" customHeight="1" x14ac:dyDescent="0.2">
      <c r="A35" s="153" t="s">
        <v>149</v>
      </c>
      <c r="B35" s="4"/>
      <c r="C35" s="5"/>
      <c r="D35" s="29">
        <v>4017</v>
      </c>
      <c r="E35" s="4" t="s">
        <v>90</v>
      </c>
      <c r="F35" s="4" t="s">
        <v>103</v>
      </c>
      <c r="G35" s="4">
        <v>2004</v>
      </c>
      <c r="H35" s="3" t="s">
        <v>150</v>
      </c>
      <c r="I35" s="13">
        <v>2004</v>
      </c>
      <c r="J35" s="13">
        <f t="shared" si="0"/>
        <v>15</v>
      </c>
      <c r="K35" s="13"/>
      <c r="L35" s="8">
        <v>38194</v>
      </c>
      <c r="M35" s="23">
        <v>1</v>
      </c>
      <c r="N35" s="16"/>
      <c r="O35" s="23">
        <v>1</v>
      </c>
      <c r="P35" s="16"/>
      <c r="Q35" s="16"/>
      <c r="R35" s="16"/>
      <c r="S35" s="16"/>
      <c r="T35" s="16"/>
      <c r="U35" s="16"/>
      <c r="V35" s="49" t="s">
        <v>132</v>
      </c>
      <c r="W35" s="49"/>
      <c r="X35" s="13"/>
      <c r="Y35" s="138" t="s">
        <v>133</v>
      </c>
      <c r="Z35" s="138" t="s">
        <v>134</v>
      </c>
      <c r="AA35" s="138"/>
      <c r="AB35" s="138"/>
      <c r="AC35" s="149">
        <v>505103.03</v>
      </c>
      <c r="AD35" s="149">
        <f t="shared" si="1"/>
        <v>14142884.839999996</v>
      </c>
      <c r="AE35" s="150">
        <v>0.8</v>
      </c>
      <c r="AF35" s="150">
        <v>0.2</v>
      </c>
      <c r="AG35" s="149">
        <f t="shared" si="4"/>
        <v>404082.42400000006</v>
      </c>
      <c r="AH35" s="149">
        <f t="shared" si="5"/>
        <v>101020.60599999997</v>
      </c>
      <c r="AI35" s="156" t="s">
        <v>96</v>
      </c>
      <c r="AJ35" s="11"/>
      <c r="AK35" s="12"/>
      <c r="AL35" s="17"/>
    </row>
    <row r="36" spans="1:40" ht="12.75" customHeight="1" x14ac:dyDescent="0.2">
      <c r="A36" s="153" t="s">
        <v>151</v>
      </c>
      <c r="B36" s="4"/>
      <c r="C36" s="5"/>
      <c r="D36" s="29">
        <v>4018</v>
      </c>
      <c r="E36" s="4" t="s">
        <v>90</v>
      </c>
      <c r="F36" s="4" t="s">
        <v>103</v>
      </c>
      <c r="G36" s="4">
        <v>2004</v>
      </c>
      <c r="H36" s="3" t="s">
        <v>152</v>
      </c>
      <c r="I36" s="13">
        <v>2004</v>
      </c>
      <c r="J36" s="13">
        <f t="shared" si="0"/>
        <v>15</v>
      </c>
      <c r="K36" s="13"/>
      <c r="L36" s="8">
        <v>38190</v>
      </c>
      <c r="M36" s="23">
        <v>1</v>
      </c>
      <c r="N36" s="16"/>
      <c r="O36" s="23">
        <v>1</v>
      </c>
      <c r="P36" s="16"/>
      <c r="Q36" s="16"/>
      <c r="R36" s="16"/>
      <c r="S36" s="16"/>
      <c r="T36" s="16"/>
      <c r="U36" s="16"/>
      <c r="V36" s="49" t="s">
        <v>132</v>
      </c>
      <c r="W36" s="49"/>
      <c r="X36" s="13"/>
      <c r="Y36" s="138" t="s">
        <v>133</v>
      </c>
      <c r="Z36" s="138" t="s">
        <v>134</v>
      </c>
      <c r="AA36" s="138"/>
      <c r="AB36" s="138"/>
      <c r="AC36" s="149">
        <v>505103.03</v>
      </c>
      <c r="AD36" s="149">
        <f t="shared" si="1"/>
        <v>14647987.869999995</v>
      </c>
      <c r="AE36" s="150">
        <v>0.8</v>
      </c>
      <c r="AF36" s="150">
        <v>0.2</v>
      </c>
      <c r="AG36" s="149">
        <f t="shared" si="4"/>
        <v>404082.42400000006</v>
      </c>
      <c r="AH36" s="149">
        <f t="shared" si="5"/>
        <v>101020.60599999997</v>
      </c>
      <c r="AI36" s="156" t="s">
        <v>96</v>
      </c>
      <c r="AJ36" s="11"/>
      <c r="AK36" s="12"/>
      <c r="AL36" s="17"/>
    </row>
    <row r="37" spans="1:40" ht="12.75" customHeight="1" x14ac:dyDescent="0.2">
      <c r="A37" s="153" t="s">
        <v>153</v>
      </c>
      <c r="B37" s="4"/>
      <c r="C37" s="5"/>
      <c r="D37" s="29">
        <v>4019</v>
      </c>
      <c r="E37" s="4" t="s">
        <v>90</v>
      </c>
      <c r="F37" s="4" t="s">
        <v>103</v>
      </c>
      <c r="G37" s="4">
        <v>2004</v>
      </c>
      <c r="H37" s="3" t="s">
        <v>154</v>
      </c>
      <c r="I37" s="13">
        <v>2004</v>
      </c>
      <c r="J37" s="13">
        <f t="shared" si="0"/>
        <v>15</v>
      </c>
      <c r="K37" s="13"/>
      <c r="L37" s="8">
        <v>38189</v>
      </c>
      <c r="M37" s="23">
        <v>1</v>
      </c>
      <c r="N37" s="16"/>
      <c r="O37" s="23">
        <v>1</v>
      </c>
      <c r="P37" s="16"/>
      <c r="Q37" s="16"/>
      <c r="R37" s="16"/>
      <c r="S37" s="16"/>
      <c r="T37" s="16"/>
      <c r="U37" s="16"/>
      <c r="V37" s="49" t="s">
        <v>132</v>
      </c>
      <c r="W37" s="49"/>
      <c r="X37" s="13"/>
      <c r="Y37" s="138" t="s">
        <v>133</v>
      </c>
      <c r="Z37" s="138" t="s">
        <v>134</v>
      </c>
      <c r="AA37" s="138"/>
      <c r="AB37" s="138"/>
      <c r="AC37" s="149">
        <v>505103.03</v>
      </c>
      <c r="AD37" s="149">
        <f t="shared" si="1"/>
        <v>15153090.899999995</v>
      </c>
      <c r="AE37" s="150">
        <v>0.8</v>
      </c>
      <c r="AF37" s="150">
        <v>0.2</v>
      </c>
      <c r="AG37" s="149">
        <f t="shared" si="4"/>
        <v>404082.42400000006</v>
      </c>
      <c r="AH37" s="149">
        <f t="shared" si="5"/>
        <v>101020.60599999997</v>
      </c>
      <c r="AI37" s="139"/>
      <c r="AJ37" s="11"/>
      <c r="AK37" s="12"/>
      <c r="AL37" s="17"/>
    </row>
    <row r="38" spans="1:40" ht="12.75" customHeight="1" x14ac:dyDescent="0.2">
      <c r="A38" s="153" t="s">
        <v>155</v>
      </c>
      <c r="B38" s="4"/>
      <c r="C38" s="5"/>
      <c r="D38" s="30">
        <v>4020</v>
      </c>
      <c r="E38" s="4" t="s">
        <v>90</v>
      </c>
      <c r="F38" s="4" t="s">
        <v>103</v>
      </c>
      <c r="G38" s="4">
        <v>2004</v>
      </c>
      <c r="H38" s="3" t="s">
        <v>156</v>
      </c>
      <c r="I38" s="13">
        <v>2004</v>
      </c>
      <c r="J38" s="13">
        <f t="shared" si="0"/>
        <v>15</v>
      </c>
      <c r="K38" s="13"/>
      <c r="L38" s="8">
        <v>38171</v>
      </c>
      <c r="M38" s="23">
        <v>1</v>
      </c>
      <c r="N38" s="16"/>
      <c r="O38" s="39" t="s">
        <v>157</v>
      </c>
      <c r="P38" s="16"/>
      <c r="Q38" s="16"/>
      <c r="R38" s="16"/>
      <c r="S38" s="16"/>
      <c r="T38" s="16"/>
      <c r="U38" s="16"/>
      <c r="V38" s="49" t="s">
        <v>132</v>
      </c>
      <c r="W38" s="49"/>
      <c r="X38" s="50"/>
      <c r="Y38" s="138" t="s">
        <v>158</v>
      </c>
      <c r="Z38" s="138" t="s">
        <v>134</v>
      </c>
      <c r="AA38" s="157" t="s">
        <v>110</v>
      </c>
      <c r="AB38" s="138"/>
      <c r="AC38" s="149">
        <v>505103.03</v>
      </c>
      <c r="AD38" s="149">
        <f t="shared" si="1"/>
        <v>15658193.929999994</v>
      </c>
      <c r="AE38" s="150">
        <v>0.8</v>
      </c>
      <c r="AF38" s="150">
        <v>0.2</v>
      </c>
      <c r="AG38" s="149">
        <f t="shared" si="4"/>
        <v>404082.42400000006</v>
      </c>
      <c r="AH38" s="149">
        <f t="shared" si="5"/>
        <v>101020.60599999997</v>
      </c>
      <c r="AI38" s="139"/>
      <c r="AJ38" s="11"/>
      <c r="AK38" s="12"/>
      <c r="AL38" s="17"/>
    </row>
    <row r="39" spans="1:40" ht="12.75" customHeight="1" x14ac:dyDescent="0.2">
      <c r="A39" s="153" t="s">
        <v>159</v>
      </c>
      <c r="B39" s="4"/>
      <c r="C39" s="5"/>
      <c r="D39" s="29">
        <v>4021</v>
      </c>
      <c r="E39" s="4" t="s">
        <v>90</v>
      </c>
      <c r="F39" s="4" t="s">
        <v>103</v>
      </c>
      <c r="G39" s="4">
        <v>2004</v>
      </c>
      <c r="H39" s="3" t="s">
        <v>160</v>
      </c>
      <c r="I39" s="13">
        <v>2004</v>
      </c>
      <c r="J39" s="13">
        <f t="shared" si="0"/>
        <v>15</v>
      </c>
      <c r="K39" s="13"/>
      <c r="L39" s="8">
        <v>38190</v>
      </c>
      <c r="M39" s="23">
        <v>1</v>
      </c>
      <c r="N39" s="16"/>
      <c r="O39" s="39" t="s">
        <v>157</v>
      </c>
      <c r="P39" s="16"/>
      <c r="Q39" s="16"/>
      <c r="R39" s="16"/>
      <c r="S39" s="16"/>
      <c r="T39" s="16"/>
      <c r="U39" s="16"/>
      <c r="V39" s="49" t="s">
        <v>132</v>
      </c>
      <c r="W39" s="49"/>
      <c r="X39" s="50"/>
      <c r="Y39" s="138" t="s">
        <v>161</v>
      </c>
      <c r="Z39" s="138" t="s">
        <v>134</v>
      </c>
      <c r="AA39" s="157"/>
      <c r="AB39" s="45" t="s">
        <v>162</v>
      </c>
      <c r="AC39" s="149">
        <v>505103.03</v>
      </c>
      <c r="AD39" s="149">
        <f t="shared" si="1"/>
        <v>16163296.959999993</v>
      </c>
      <c r="AE39" s="150">
        <v>0.8</v>
      </c>
      <c r="AF39" s="150">
        <v>0.2</v>
      </c>
      <c r="AG39" s="149">
        <f t="shared" si="4"/>
        <v>404082.42400000006</v>
      </c>
      <c r="AH39" s="149">
        <f t="shared" si="5"/>
        <v>101020.60599999997</v>
      </c>
      <c r="AI39" s="139"/>
      <c r="AJ39" s="11"/>
      <c r="AK39" s="12"/>
      <c r="AL39" s="17"/>
    </row>
    <row r="40" spans="1:40" ht="12.75" customHeight="1" x14ac:dyDescent="0.2">
      <c r="A40" s="153" t="s">
        <v>163</v>
      </c>
      <c r="B40" s="4"/>
      <c r="C40" s="5"/>
      <c r="D40" s="29">
        <v>4022</v>
      </c>
      <c r="E40" s="4" t="s">
        <v>90</v>
      </c>
      <c r="F40" s="4" t="s">
        <v>103</v>
      </c>
      <c r="G40" s="4">
        <v>2004</v>
      </c>
      <c r="H40" s="3" t="s">
        <v>164</v>
      </c>
      <c r="I40" s="13">
        <v>2004</v>
      </c>
      <c r="J40" s="13">
        <f t="shared" si="0"/>
        <v>15</v>
      </c>
      <c r="K40" s="13"/>
      <c r="L40" s="8">
        <v>38191</v>
      </c>
      <c r="M40" s="23">
        <v>1</v>
      </c>
      <c r="N40" s="16"/>
      <c r="O40" s="39" t="s">
        <v>157</v>
      </c>
      <c r="P40" s="16"/>
      <c r="Q40" s="16"/>
      <c r="R40" s="16"/>
      <c r="S40" s="16"/>
      <c r="T40" s="16"/>
      <c r="U40" s="16"/>
      <c r="V40" s="49" t="s">
        <v>132</v>
      </c>
      <c r="W40" s="49"/>
      <c r="X40" s="50"/>
      <c r="Y40" s="138" t="s">
        <v>165</v>
      </c>
      <c r="Z40" s="138" t="s">
        <v>134</v>
      </c>
      <c r="AA40" s="138"/>
      <c r="AB40" s="45" t="s">
        <v>166</v>
      </c>
      <c r="AC40" s="149">
        <v>505103.03</v>
      </c>
      <c r="AD40" s="149">
        <f t="shared" si="1"/>
        <v>16668399.989999993</v>
      </c>
      <c r="AE40" s="150">
        <v>0.8</v>
      </c>
      <c r="AF40" s="150">
        <v>0.2</v>
      </c>
      <c r="AG40" s="149">
        <f t="shared" si="4"/>
        <v>404082.42400000006</v>
      </c>
      <c r="AH40" s="149">
        <f t="shared" si="5"/>
        <v>101020.60599999997</v>
      </c>
      <c r="AI40" s="139"/>
      <c r="AJ40" s="11"/>
      <c r="AK40" s="12"/>
      <c r="AL40" s="17"/>
    </row>
    <row r="41" spans="1:40" ht="12.75" customHeight="1" x14ac:dyDescent="0.2">
      <c r="A41" s="153" t="s">
        <v>167</v>
      </c>
      <c r="B41" s="4"/>
      <c r="C41" s="5"/>
      <c r="D41" s="29">
        <v>6023</v>
      </c>
      <c r="E41" s="4" t="s">
        <v>90</v>
      </c>
      <c r="F41" s="4" t="s">
        <v>168</v>
      </c>
      <c r="G41" s="4">
        <v>2006</v>
      </c>
      <c r="H41" s="3" t="s">
        <v>169</v>
      </c>
      <c r="I41" s="13">
        <v>2006</v>
      </c>
      <c r="J41" s="13">
        <f t="shared" si="0"/>
        <v>13</v>
      </c>
      <c r="K41" s="13"/>
      <c r="L41" s="24">
        <v>38827</v>
      </c>
      <c r="M41" s="23">
        <v>1</v>
      </c>
      <c r="N41" s="16"/>
      <c r="O41" s="39" t="s">
        <v>157</v>
      </c>
      <c r="P41" s="16"/>
      <c r="Q41" s="16"/>
      <c r="R41" s="16"/>
      <c r="S41" s="16"/>
      <c r="T41" s="16"/>
      <c r="U41" s="16"/>
      <c r="V41" s="49" t="s">
        <v>132</v>
      </c>
      <c r="W41" s="49"/>
      <c r="X41" s="50"/>
      <c r="Y41" s="86" t="s">
        <v>170</v>
      </c>
      <c r="Z41" s="138" t="s">
        <v>134</v>
      </c>
      <c r="AA41" s="138"/>
      <c r="AB41" s="45" t="s">
        <v>171</v>
      </c>
      <c r="AC41" s="149">
        <v>505103.03</v>
      </c>
      <c r="AD41" s="149">
        <f t="shared" si="1"/>
        <v>17173503.019999992</v>
      </c>
      <c r="AE41" s="150">
        <v>0.8</v>
      </c>
      <c r="AF41" s="150">
        <v>0.2</v>
      </c>
      <c r="AG41" s="149">
        <f t="shared" si="4"/>
        <v>404082.42400000006</v>
      </c>
      <c r="AH41" s="149">
        <f t="shared" si="5"/>
        <v>101020.60599999997</v>
      </c>
      <c r="AI41" s="139"/>
      <c r="AJ41" s="11"/>
      <c r="AK41" s="12"/>
      <c r="AL41" s="17"/>
    </row>
    <row r="42" spans="1:40" ht="12.75" customHeight="1" x14ac:dyDescent="0.2">
      <c r="A42" s="153" t="s">
        <v>172</v>
      </c>
      <c r="B42" s="4"/>
      <c r="C42" s="5"/>
      <c r="D42" s="29">
        <v>6000</v>
      </c>
      <c r="E42" s="4" t="s">
        <v>90</v>
      </c>
      <c r="F42" s="4" t="s">
        <v>168</v>
      </c>
      <c r="G42" s="4">
        <v>2006</v>
      </c>
      <c r="H42" s="3" t="s">
        <v>173</v>
      </c>
      <c r="I42" s="13">
        <v>2006</v>
      </c>
      <c r="J42" s="13">
        <f t="shared" si="0"/>
        <v>13</v>
      </c>
      <c r="K42" s="13"/>
      <c r="L42" s="24">
        <v>38945</v>
      </c>
      <c r="M42" s="23">
        <v>1</v>
      </c>
      <c r="N42" s="16"/>
      <c r="O42" s="39" t="s">
        <v>157</v>
      </c>
      <c r="P42" s="16"/>
      <c r="Q42" s="16"/>
      <c r="R42" s="16"/>
      <c r="S42" s="16"/>
      <c r="T42" s="16"/>
      <c r="U42" s="16"/>
      <c r="V42" s="49" t="s">
        <v>132</v>
      </c>
      <c r="W42" s="49"/>
      <c r="X42" s="50"/>
      <c r="Y42" s="138" t="s">
        <v>174</v>
      </c>
      <c r="Z42" s="138" t="s">
        <v>134</v>
      </c>
      <c r="AA42" s="138"/>
      <c r="AB42" s="85" t="s">
        <v>175</v>
      </c>
      <c r="AC42" s="149">
        <v>306000</v>
      </c>
      <c r="AD42" s="149">
        <f t="shared" si="1"/>
        <v>17479503.019999992</v>
      </c>
      <c r="AE42" s="150">
        <v>0.8</v>
      </c>
      <c r="AF42" s="150">
        <v>0.2</v>
      </c>
      <c r="AG42" s="149">
        <f t="shared" si="4"/>
        <v>244800</v>
      </c>
      <c r="AH42" s="139">
        <f t="shared" si="5"/>
        <v>61200</v>
      </c>
      <c r="AI42" s="139"/>
      <c r="AJ42" s="26" t="s">
        <v>176</v>
      </c>
      <c r="AK42" s="27"/>
      <c r="AL42" s="25"/>
    </row>
    <row r="43" spans="1:40" ht="12.75" customHeight="1" x14ac:dyDescent="0.2">
      <c r="A43" s="153" t="s">
        <v>177</v>
      </c>
      <c r="B43" s="4"/>
      <c r="C43" s="5"/>
      <c r="D43" s="29">
        <v>6001</v>
      </c>
      <c r="E43" s="4" t="s">
        <v>90</v>
      </c>
      <c r="F43" s="4" t="s">
        <v>168</v>
      </c>
      <c r="G43" s="4">
        <v>2006</v>
      </c>
      <c r="H43" s="3" t="s">
        <v>178</v>
      </c>
      <c r="I43" s="13">
        <v>2006</v>
      </c>
      <c r="J43" s="13">
        <f t="shared" si="0"/>
        <v>13</v>
      </c>
      <c r="K43" s="13"/>
      <c r="L43" s="24">
        <v>38945</v>
      </c>
      <c r="M43" s="23">
        <v>1</v>
      </c>
      <c r="N43" s="16"/>
      <c r="O43" s="39" t="s">
        <v>157</v>
      </c>
      <c r="P43" s="16"/>
      <c r="Q43" s="16"/>
      <c r="R43" s="16"/>
      <c r="S43" s="16"/>
      <c r="T43" s="16"/>
      <c r="U43" s="16"/>
      <c r="V43" s="49" t="s">
        <v>132</v>
      </c>
      <c r="W43" s="49"/>
      <c r="X43" s="50"/>
      <c r="Y43" s="138" t="s">
        <v>174</v>
      </c>
      <c r="Z43" s="138" t="s">
        <v>134</v>
      </c>
      <c r="AA43" s="138"/>
      <c r="AB43" s="85" t="s">
        <v>179</v>
      </c>
      <c r="AC43" s="149">
        <v>306000</v>
      </c>
      <c r="AD43" s="149">
        <f t="shared" si="1"/>
        <v>17785503.019999992</v>
      </c>
      <c r="AE43" s="150">
        <v>0.8</v>
      </c>
      <c r="AF43" s="150">
        <v>0.2</v>
      </c>
      <c r="AG43" s="149">
        <f t="shared" si="4"/>
        <v>244800</v>
      </c>
      <c r="AH43" s="139">
        <f t="shared" si="5"/>
        <v>61200</v>
      </c>
      <c r="AI43" s="139"/>
      <c r="AJ43" s="26" t="s">
        <v>176</v>
      </c>
      <c r="AK43" s="27"/>
      <c r="AL43" s="25"/>
    </row>
    <row r="44" spans="1:40" ht="12.75" customHeight="1" x14ac:dyDescent="0.2">
      <c r="A44" s="153" t="s">
        <v>180</v>
      </c>
      <c r="B44" s="4"/>
      <c r="C44" s="5"/>
      <c r="D44" s="29">
        <v>6002</v>
      </c>
      <c r="E44" s="4" t="s">
        <v>90</v>
      </c>
      <c r="F44" s="4" t="s">
        <v>168</v>
      </c>
      <c r="G44" s="4">
        <v>2006</v>
      </c>
      <c r="H44" s="3" t="s">
        <v>181</v>
      </c>
      <c r="I44" s="13">
        <v>2006</v>
      </c>
      <c r="J44" s="13">
        <f t="shared" si="0"/>
        <v>13</v>
      </c>
      <c r="K44" s="13"/>
      <c r="L44" s="24">
        <v>38945</v>
      </c>
      <c r="M44" s="23">
        <v>1</v>
      </c>
      <c r="N44" s="16"/>
      <c r="O44" s="23">
        <v>1</v>
      </c>
      <c r="P44" s="16"/>
      <c r="Q44" s="16"/>
      <c r="R44" s="16"/>
      <c r="S44" s="16"/>
      <c r="T44" s="16"/>
      <c r="U44" s="16"/>
      <c r="V44" s="49" t="s">
        <v>132</v>
      </c>
      <c r="W44" s="49"/>
      <c r="X44" s="50"/>
      <c r="Y44" s="138" t="s">
        <v>174</v>
      </c>
      <c r="Z44" s="138" t="s">
        <v>134</v>
      </c>
      <c r="AA44" s="138"/>
      <c r="AB44" s="85" t="s">
        <v>182</v>
      </c>
      <c r="AC44" s="149">
        <v>306000</v>
      </c>
      <c r="AD44" s="149">
        <f t="shared" si="1"/>
        <v>18091503.019999992</v>
      </c>
      <c r="AE44" s="150">
        <v>0.8</v>
      </c>
      <c r="AF44" s="150">
        <v>0.2</v>
      </c>
      <c r="AG44" s="149">
        <f t="shared" si="4"/>
        <v>244800</v>
      </c>
      <c r="AH44" s="139">
        <f t="shared" si="5"/>
        <v>61200</v>
      </c>
      <c r="AI44" s="139"/>
      <c r="AJ44" s="26" t="s">
        <v>176</v>
      </c>
      <c r="AK44" s="27"/>
      <c r="AL44" s="25"/>
    </row>
    <row r="45" spans="1:40" ht="12.75" customHeight="1" x14ac:dyDescent="0.2">
      <c r="A45" s="153" t="s">
        <v>183</v>
      </c>
      <c r="B45" s="4"/>
      <c r="C45" s="5"/>
      <c r="D45" s="29">
        <v>6004</v>
      </c>
      <c r="E45" s="4" t="s">
        <v>90</v>
      </c>
      <c r="F45" s="4" t="s">
        <v>168</v>
      </c>
      <c r="G45" s="4">
        <v>2006</v>
      </c>
      <c r="H45" s="3" t="s">
        <v>184</v>
      </c>
      <c r="I45" s="13">
        <v>2006</v>
      </c>
      <c r="J45" s="13">
        <f t="shared" si="0"/>
        <v>13</v>
      </c>
      <c r="K45" s="13"/>
      <c r="L45" s="24">
        <v>38945</v>
      </c>
      <c r="M45" s="23">
        <v>1</v>
      </c>
      <c r="N45" s="16"/>
      <c r="O45" s="58">
        <v>1</v>
      </c>
      <c r="P45" s="16"/>
      <c r="Q45" s="16"/>
      <c r="R45" s="16"/>
      <c r="S45" s="16"/>
      <c r="T45" s="16"/>
      <c r="U45" s="16"/>
      <c r="V45" s="49" t="s">
        <v>132</v>
      </c>
      <c r="W45" s="49"/>
      <c r="X45" s="50"/>
      <c r="Y45" s="138" t="s">
        <v>174</v>
      </c>
      <c r="Z45" s="138" t="s">
        <v>134</v>
      </c>
      <c r="AA45" s="138">
        <v>99155</v>
      </c>
      <c r="AB45" s="85" t="s">
        <v>185</v>
      </c>
      <c r="AC45" s="149">
        <v>306000</v>
      </c>
      <c r="AD45" s="149">
        <f t="shared" si="1"/>
        <v>18397503.019999992</v>
      </c>
      <c r="AE45" s="150">
        <v>0.8</v>
      </c>
      <c r="AF45" s="150">
        <v>0.2</v>
      </c>
      <c r="AG45" s="149">
        <f t="shared" si="4"/>
        <v>244800</v>
      </c>
      <c r="AH45" s="139">
        <f t="shared" si="5"/>
        <v>61200</v>
      </c>
      <c r="AI45" s="139"/>
      <c r="AJ45" s="26" t="s">
        <v>176</v>
      </c>
      <c r="AK45" s="27"/>
      <c r="AL45" s="25"/>
    </row>
    <row r="46" spans="1:40" ht="12.75" customHeight="1" x14ac:dyDescent="0.2">
      <c r="A46" s="153" t="s">
        <v>186</v>
      </c>
      <c r="B46" s="4"/>
      <c r="C46" s="5"/>
      <c r="D46" s="29">
        <v>6005</v>
      </c>
      <c r="E46" s="4" t="s">
        <v>90</v>
      </c>
      <c r="F46" s="4" t="s">
        <v>168</v>
      </c>
      <c r="G46" s="4">
        <v>2006</v>
      </c>
      <c r="H46" s="3" t="s">
        <v>187</v>
      </c>
      <c r="I46" s="13">
        <v>2006</v>
      </c>
      <c r="J46" s="13">
        <f t="shared" si="0"/>
        <v>13</v>
      </c>
      <c r="K46" s="13"/>
      <c r="L46" s="24">
        <v>38945</v>
      </c>
      <c r="M46" s="23">
        <v>1</v>
      </c>
      <c r="N46" s="16"/>
      <c r="O46" s="58">
        <v>1</v>
      </c>
      <c r="P46" s="16"/>
      <c r="Q46" s="16"/>
      <c r="R46" s="16"/>
      <c r="S46" s="16"/>
      <c r="T46" s="16"/>
      <c r="U46" s="16"/>
      <c r="V46" s="49" t="s">
        <v>132</v>
      </c>
      <c r="W46" s="49"/>
      <c r="X46" s="50"/>
      <c r="Y46" s="138" t="s">
        <v>174</v>
      </c>
      <c r="Z46" s="138" t="s">
        <v>134</v>
      </c>
      <c r="AA46" s="158">
        <v>95697</v>
      </c>
      <c r="AB46" s="85" t="s">
        <v>188</v>
      </c>
      <c r="AC46" s="149">
        <v>306000</v>
      </c>
      <c r="AD46" s="149">
        <f t="shared" si="1"/>
        <v>18703503.019999992</v>
      </c>
      <c r="AE46" s="150">
        <v>0.8</v>
      </c>
      <c r="AF46" s="150">
        <v>0.2</v>
      </c>
      <c r="AG46" s="149">
        <f t="shared" si="4"/>
        <v>244800</v>
      </c>
      <c r="AH46" s="139">
        <f t="shared" si="5"/>
        <v>61200</v>
      </c>
      <c r="AI46" s="139"/>
      <c r="AJ46" s="26" t="s">
        <v>176</v>
      </c>
      <c r="AK46" s="27"/>
      <c r="AL46" s="25"/>
    </row>
    <row r="47" spans="1:40" ht="12.75" customHeight="1" x14ac:dyDescent="0.2">
      <c r="A47" s="153" t="s">
        <v>189</v>
      </c>
      <c r="B47" s="4"/>
      <c r="C47" s="5"/>
      <c r="D47" s="29">
        <v>6006</v>
      </c>
      <c r="E47" s="4" t="s">
        <v>90</v>
      </c>
      <c r="F47" s="4" t="s">
        <v>168</v>
      </c>
      <c r="G47" s="4">
        <v>2006</v>
      </c>
      <c r="H47" s="3" t="s">
        <v>190</v>
      </c>
      <c r="I47" s="13">
        <v>2006</v>
      </c>
      <c r="J47" s="13">
        <f t="shared" si="0"/>
        <v>13</v>
      </c>
      <c r="K47" s="13"/>
      <c r="L47" s="24">
        <v>38945</v>
      </c>
      <c r="M47" s="23">
        <v>1</v>
      </c>
      <c r="N47" s="16"/>
      <c r="O47" s="58">
        <v>1</v>
      </c>
      <c r="P47" s="16"/>
      <c r="Q47" s="16"/>
      <c r="R47" s="16"/>
      <c r="S47" s="16"/>
      <c r="T47" s="16"/>
      <c r="U47" s="16"/>
      <c r="V47" s="49" t="s">
        <v>132</v>
      </c>
      <c r="W47" s="49"/>
      <c r="X47" s="50"/>
      <c r="Y47" s="138" t="s">
        <v>174</v>
      </c>
      <c r="Z47" s="138" t="s">
        <v>134</v>
      </c>
      <c r="AA47" s="14"/>
      <c r="AB47" s="85" t="s">
        <v>191</v>
      </c>
      <c r="AC47" s="149">
        <v>306000</v>
      </c>
      <c r="AD47" s="149">
        <f t="shared" si="1"/>
        <v>19009503.019999992</v>
      </c>
      <c r="AE47" s="150">
        <v>0.8</v>
      </c>
      <c r="AF47" s="150">
        <v>0.2</v>
      </c>
      <c r="AG47" s="149">
        <f t="shared" si="4"/>
        <v>244800</v>
      </c>
      <c r="AH47" s="139">
        <f t="shared" si="5"/>
        <v>61200</v>
      </c>
      <c r="AI47" s="139"/>
      <c r="AJ47" s="26" t="s">
        <v>176</v>
      </c>
      <c r="AK47" s="27"/>
      <c r="AL47" s="25"/>
      <c r="AN47" s="92">
        <f>SUM(AH42:AH47)</f>
        <v>367200</v>
      </c>
    </row>
    <row r="48" spans="1:40" ht="12.75" customHeight="1" x14ac:dyDescent="0.2">
      <c r="A48" s="4"/>
      <c r="B48" s="4"/>
      <c r="C48" s="5"/>
      <c r="D48" s="53"/>
      <c r="E48" s="21"/>
      <c r="F48" s="21"/>
      <c r="G48" s="21"/>
      <c r="H48" s="22"/>
      <c r="I48" s="13"/>
      <c r="J48" s="13"/>
      <c r="K48" s="13"/>
      <c r="L48" s="8"/>
      <c r="M48" s="16"/>
      <c r="N48" s="16"/>
      <c r="O48" s="16"/>
      <c r="P48" s="16"/>
      <c r="Q48" s="16"/>
      <c r="R48" s="16"/>
      <c r="S48" s="16"/>
      <c r="T48" s="16"/>
      <c r="U48" s="16"/>
      <c r="V48" s="49"/>
      <c r="W48" s="49"/>
      <c r="X48" s="50"/>
      <c r="Y48" s="159"/>
      <c r="Z48" s="159"/>
      <c r="AA48" s="159"/>
      <c r="AB48" s="73" t="s">
        <v>192</v>
      </c>
      <c r="AC48" s="160">
        <f>SUM(AC8:AC47)</f>
        <v>19009503.019999992</v>
      </c>
      <c r="AD48" s="160"/>
      <c r="AE48" s="161"/>
      <c r="AF48" s="161"/>
      <c r="AG48" s="160">
        <f>SUM(AG8:AG47)</f>
        <v>14626733.931500006</v>
      </c>
      <c r="AH48" s="160">
        <f>SUM(AH8:AH47)</f>
        <v>4382769.0885000024</v>
      </c>
      <c r="AI48" s="160"/>
      <c r="AJ48" s="11"/>
      <c r="AK48" s="12"/>
      <c r="AL48" s="17"/>
      <c r="AN48" s="126"/>
    </row>
    <row r="49" spans="1:38" ht="12.75" customHeight="1" x14ac:dyDescent="0.2">
      <c r="A49" s="83" t="s">
        <v>28</v>
      </c>
      <c r="B49" s="4"/>
      <c r="C49" s="5"/>
      <c r="D49" s="28" t="s">
        <v>193</v>
      </c>
      <c r="E49" s="21"/>
      <c r="F49" s="21"/>
      <c r="G49" s="21"/>
      <c r="H49" s="22"/>
      <c r="I49" s="13"/>
      <c r="J49" s="13"/>
      <c r="K49" s="13"/>
      <c r="L49" s="8"/>
      <c r="M49" s="16"/>
      <c r="N49" s="16"/>
      <c r="O49" s="16"/>
      <c r="P49" s="16"/>
      <c r="Q49" s="16"/>
      <c r="R49" s="16"/>
      <c r="S49" s="16"/>
      <c r="T49" s="16"/>
      <c r="U49" s="16"/>
      <c r="V49" s="49"/>
      <c r="W49" s="49"/>
      <c r="X49" s="50"/>
      <c r="Y49" s="159"/>
      <c r="Z49" s="159"/>
      <c r="AA49" s="159"/>
      <c r="AB49" s="159"/>
      <c r="AC49" s="160"/>
      <c r="AD49" s="160"/>
      <c r="AE49" s="161"/>
      <c r="AF49" s="161"/>
      <c r="AG49" s="160"/>
      <c r="AH49" s="160"/>
      <c r="AI49" s="160"/>
      <c r="AJ49" s="11"/>
      <c r="AK49" s="12"/>
      <c r="AL49" s="17"/>
    </row>
    <row r="50" spans="1:38" ht="12.75" customHeight="1" x14ac:dyDescent="0.2">
      <c r="A50" s="125" t="s">
        <v>30</v>
      </c>
      <c r="B50" s="4"/>
      <c r="C50" s="5"/>
      <c r="D50" s="29">
        <v>6007</v>
      </c>
      <c r="E50" s="4" t="s">
        <v>90</v>
      </c>
      <c r="F50" s="4" t="s">
        <v>168</v>
      </c>
      <c r="G50" s="4">
        <v>2006</v>
      </c>
      <c r="H50" s="3" t="s">
        <v>194</v>
      </c>
      <c r="I50" s="13">
        <v>2006</v>
      </c>
      <c r="J50" s="13">
        <f>2020-I50</f>
        <v>14</v>
      </c>
      <c r="K50" s="13"/>
      <c r="L50" s="24">
        <v>38945</v>
      </c>
      <c r="M50" s="23">
        <v>1</v>
      </c>
      <c r="N50" s="16"/>
      <c r="O50" s="16"/>
      <c r="P50" s="23">
        <v>1</v>
      </c>
      <c r="Q50" s="16"/>
      <c r="R50" s="16"/>
      <c r="S50" s="16"/>
      <c r="T50" s="16"/>
      <c r="U50" s="16"/>
      <c r="V50" s="49"/>
      <c r="W50" s="49"/>
      <c r="X50" s="50"/>
      <c r="Y50" s="162" t="s">
        <v>195</v>
      </c>
      <c r="Z50" s="144"/>
      <c r="AA50" s="138">
        <v>103349</v>
      </c>
      <c r="AB50" s="138"/>
      <c r="AC50" s="149">
        <v>505149</v>
      </c>
      <c r="AD50" s="149">
        <f t="shared" ref="AD50:AD68" si="6">AD49+AC50</f>
        <v>505149</v>
      </c>
      <c r="AE50" s="150">
        <v>0.8</v>
      </c>
      <c r="AF50" s="150">
        <v>0.2</v>
      </c>
      <c r="AG50" s="149">
        <f t="shared" ref="AG50:AG68" si="7">AE50*AC50</f>
        <v>404119.2</v>
      </c>
      <c r="AH50" s="139">
        <f t="shared" ref="AH50:AH68" si="8">AC50-AG50</f>
        <v>101029.79999999999</v>
      </c>
      <c r="AI50" s="160"/>
      <c r="AJ50" s="11"/>
      <c r="AK50" s="12"/>
      <c r="AL50" s="17"/>
    </row>
    <row r="51" spans="1:38" ht="12.75" customHeight="1" x14ac:dyDescent="0.2">
      <c r="A51" s="125" t="s">
        <v>36</v>
      </c>
      <c r="B51" s="4"/>
      <c r="C51" s="5"/>
      <c r="D51" s="29">
        <v>6008</v>
      </c>
      <c r="E51" s="4" t="s">
        <v>90</v>
      </c>
      <c r="F51" s="4" t="s">
        <v>168</v>
      </c>
      <c r="G51" s="4">
        <v>2006</v>
      </c>
      <c r="H51" s="3" t="s">
        <v>196</v>
      </c>
      <c r="I51" s="13">
        <v>2006</v>
      </c>
      <c r="J51" s="13">
        <f t="shared" ref="J51:J68" si="9">2020-I51</f>
        <v>14</v>
      </c>
      <c r="K51" s="13"/>
      <c r="L51" s="24">
        <v>38945</v>
      </c>
      <c r="M51" s="23">
        <v>1</v>
      </c>
      <c r="N51" s="16"/>
      <c r="O51" s="16"/>
      <c r="P51" s="23">
        <v>1</v>
      </c>
      <c r="Q51" s="16"/>
      <c r="R51" s="16"/>
      <c r="S51" s="16"/>
      <c r="T51" s="16"/>
      <c r="U51" s="16"/>
      <c r="V51" s="49"/>
      <c r="W51" s="49"/>
      <c r="X51" s="50"/>
      <c r="Y51" s="162" t="s">
        <v>195</v>
      </c>
      <c r="Z51" s="144"/>
      <c r="AA51" s="144"/>
      <c r="AB51" s="144"/>
      <c r="AC51" s="149">
        <v>505149</v>
      </c>
      <c r="AD51" s="149">
        <f t="shared" si="6"/>
        <v>1010298</v>
      </c>
      <c r="AE51" s="150">
        <v>0.8</v>
      </c>
      <c r="AF51" s="150">
        <v>0.2</v>
      </c>
      <c r="AG51" s="149">
        <f t="shared" si="7"/>
        <v>404119.2</v>
      </c>
      <c r="AH51" s="139">
        <f t="shared" si="8"/>
        <v>101029.79999999999</v>
      </c>
      <c r="AI51" s="160"/>
      <c r="AJ51" s="11"/>
      <c r="AK51" s="12"/>
      <c r="AL51" s="17"/>
    </row>
    <row r="52" spans="1:38" ht="12.75" customHeight="1" x14ac:dyDescent="0.2">
      <c r="A52" s="125" t="s">
        <v>38</v>
      </c>
      <c r="B52" s="4"/>
      <c r="C52" s="5"/>
      <c r="D52" s="29">
        <v>6009</v>
      </c>
      <c r="E52" s="4" t="s">
        <v>90</v>
      </c>
      <c r="F52" s="4" t="s">
        <v>168</v>
      </c>
      <c r="G52" s="4">
        <v>2006</v>
      </c>
      <c r="H52" s="3" t="s">
        <v>197</v>
      </c>
      <c r="I52" s="13">
        <v>2006</v>
      </c>
      <c r="J52" s="13">
        <f t="shared" si="9"/>
        <v>14</v>
      </c>
      <c r="K52" s="13"/>
      <c r="L52" s="24">
        <v>38945</v>
      </c>
      <c r="M52" s="23">
        <v>1</v>
      </c>
      <c r="N52" s="16"/>
      <c r="O52" s="16"/>
      <c r="P52" s="23">
        <v>1</v>
      </c>
      <c r="Q52" s="16"/>
      <c r="R52" s="16"/>
      <c r="S52" s="16"/>
      <c r="T52" s="16"/>
      <c r="U52" s="16"/>
      <c r="V52" s="49"/>
      <c r="W52" s="49"/>
      <c r="X52" s="50"/>
      <c r="Y52" s="162" t="s">
        <v>195</v>
      </c>
      <c r="Z52" s="144"/>
      <c r="AA52" s="144"/>
      <c r="AB52" s="144"/>
      <c r="AC52" s="149">
        <v>505149</v>
      </c>
      <c r="AD52" s="149">
        <f t="shared" si="6"/>
        <v>1515447</v>
      </c>
      <c r="AE52" s="150">
        <v>0.8</v>
      </c>
      <c r="AF52" s="150">
        <v>0.2</v>
      </c>
      <c r="AG52" s="149">
        <f t="shared" si="7"/>
        <v>404119.2</v>
      </c>
      <c r="AH52" s="139">
        <f t="shared" si="8"/>
        <v>101029.79999999999</v>
      </c>
      <c r="AI52" s="160"/>
      <c r="AJ52" s="11"/>
      <c r="AK52" s="12"/>
      <c r="AL52" s="17"/>
    </row>
    <row r="53" spans="1:38" ht="12.75" customHeight="1" x14ac:dyDescent="0.2">
      <c r="A53" s="125" t="s">
        <v>40</v>
      </c>
      <c r="B53" s="4"/>
      <c r="C53" s="5"/>
      <c r="D53" s="29">
        <v>6010</v>
      </c>
      <c r="E53" s="4" t="s">
        <v>90</v>
      </c>
      <c r="F53" s="4" t="s">
        <v>168</v>
      </c>
      <c r="G53" s="4">
        <v>2006</v>
      </c>
      <c r="H53" s="3" t="s">
        <v>198</v>
      </c>
      <c r="I53" s="13">
        <v>2006</v>
      </c>
      <c r="J53" s="13">
        <f t="shared" si="9"/>
        <v>14</v>
      </c>
      <c r="K53" s="13"/>
      <c r="L53" s="24">
        <v>38945</v>
      </c>
      <c r="M53" s="23">
        <v>1</v>
      </c>
      <c r="N53" s="16"/>
      <c r="O53" s="16"/>
      <c r="P53" s="23">
        <v>1</v>
      </c>
      <c r="Q53" s="16"/>
      <c r="R53" s="16"/>
      <c r="S53" s="16"/>
      <c r="T53" s="16"/>
      <c r="U53" s="16"/>
      <c r="V53" s="49"/>
      <c r="W53" s="49"/>
      <c r="X53" s="50"/>
      <c r="Y53" s="162" t="s">
        <v>195</v>
      </c>
      <c r="Z53" s="144"/>
      <c r="AA53" s="144"/>
      <c r="AB53" s="144"/>
      <c r="AC53" s="149">
        <v>505149</v>
      </c>
      <c r="AD53" s="149">
        <f t="shared" si="6"/>
        <v>2020596</v>
      </c>
      <c r="AE53" s="150">
        <v>0.8</v>
      </c>
      <c r="AF53" s="150">
        <v>0.2</v>
      </c>
      <c r="AG53" s="149">
        <f t="shared" si="7"/>
        <v>404119.2</v>
      </c>
      <c r="AH53" s="139">
        <f t="shared" si="8"/>
        <v>101029.79999999999</v>
      </c>
      <c r="AI53" s="160"/>
      <c r="AJ53" s="11"/>
      <c r="AK53" s="12"/>
      <c r="AL53" s="17"/>
    </row>
    <row r="54" spans="1:38" ht="12.75" customHeight="1" x14ac:dyDescent="0.2">
      <c r="A54" s="125" t="s">
        <v>42</v>
      </c>
      <c r="B54" s="4"/>
      <c r="C54" s="5"/>
      <c r="D54" s="29">
        <v>6011</v>
      </c>
      <c r="E54" s="4" t="s">
        <v>90</v>
      </c>
      <c r="F54" s="4" t="s">
        <v>168</v>
      </c>
      <c r="G54" s="4">
        <v>2006</v>
      </c>
      <c r="H54" s="3" t="s">
        <v>199</v>
      </c>
      <c r="I54" s="13">
        <v>2006</v>
      </c>
      <c r="J54" s="13">
        <f t="shared" si="9"/>
        <v>14</v>
      </c>
      <c r="K54" s="13"/>
      <c r="L54" s="24">
        <v>38945</v>
      </c>
      <c r="M54" s="23">
        <v>1</v>
      </c>
      <c r="N54" s="16"/>
      <c r="O54" s="16"/>
      <c r="P54" s="23">
        <v>1</v>
      </c>
      <c r="Q54" s="16"/>
      <c r="R54" s="16"/>
      <c r="S54" s="16"/>
      <c r="T54" s="16"/>
      <c r="U54" s="16"/>
      <c r="V54" s="49"/>
      <c r="W54" s="49"/>
      <c r="X54" s="50"/>
      <c r="Y54" s="162" t="s">
        <v>195</v>
      </c>
      <c r="Z54" s="144"/>
      <c r="AA54" s="144"/>
      <c r="AB54" s="144"/>
      <c r="AC54" s="149">
        <v>505149</v>
      </c>
      <c r="AD54" s="149">
        <f t="shared" si="6"/>
        <v>2525745</v>
      </c>
      <c r="AE54" s="150">
        <v>0.8</v>
      </c>
      <c r="AF54" s="150">
        <v>0.2</v>
      </c>
      <c r="AG54" s="149">
        <f t="shared" si="7"/>
        <v>404119.2</v>
      </c>
      <c r="AH54" s="139">
        <f t="shared" si="8"/>
        <v>101029.79999999999</v>
      </c>
      <c r="AI54" s="160"/>
      <c r="AJ54" s="11"/>
      <c r="AK54" s="12"/>
      <c r="AL54" s="17"/>
    </row>
    <row r="55" spans="1:38" ht="12.75" customHeight="1" x14ac:dyDescent="0.2">
      <c r="A55" s="125" t="s">
        <v>44</v>
      </c>
      <c r="B55" s="4"/>
      <c r="C55" s="5"/>
      <c r="D55" s="29">
        <v>6012</v>
      </c>
      <c r="E55" s="4" t="s">
        <v>90</v>
      </c>
      <c r="F55" s="4" t="s">
        <v>168</v>
      </c>
      <c r="G55" s="4">
        <v>2006</v>
      </c>
      <c r="H55" s="3" t="s">
        <v>200</v>
      </c>
      <c r="I55" s="13">
        <v>2006</v>
      </c>
      <c r="J55" s="13">
        <f t="shared" si="9"/>
        <v>14</v>
      </c>
      <c r="K55" s="13"/>
      <c r="L55" s="24">
        <v>38945</v>
      </c>
      <c r="M55" s="23">
        <v>1</v>
      </c>
      <c r="N55" s="16"/>
      <c r="O55" s="16"/>
      <c r="P55" s="23">
        <v>1</v>
      </c>
      <c r="Q55" s="16"/>
      <c r="R55" s="16"/>
      <c r="S55" s="16"/>
      <c r="T55" s="16"/>
      <c r="U55" s="16"/>
      <c r="V55" s="49"/>
      <c r="W55" s="49"/>
      <c r="X55" s="50"/>
      <c r="Y55" s="162" t="s">
        <v>195</v>
      </c>
      <c r="Z55" s="144"/>
      <c r="AA55" s="144"/>
      <c r="AB55" s="144"/>
      <c r="AC55" s="149">
        <v>505149</v>
      </c>
      <c r="AD55" s="149">
        <f t="shared" si="6"/>
        <v>3030894</v>
      </c>
      <c r="AE55" s="150">
        <v>0.8</v>
      </c>
      <c r="AF55" s="150">
        <v>0.2</v>
      </c>
      <c r="AG55" s="149">
        <f t="shared" si="7"/>
        <v>404119.2</v>
      </c>
      <c r="AH55" s="139">
        <f t="shared" si="8"/>
        <v>101029.79999999999</v>
      </c>
      <c r="AI55" s="160"/>
      <c r="AJ55" s="11"/>
      <c r="AK55" s="12"/>
      <c r="AL55" s="17"/>
    </row>
    <row r="56" spans="1:38" ht="12.75" customHeight="1" x14ac:dyDescent="0.2">
      <c r="A56" s="125" t="s">
        <v>46</v>
      </c>
      <c r="B56" s="4"/>
      <c r="C56" s="5"/>
      <c r="D56" s="29">
        <v>6013</v>
      </c>
      <c r="E56" s="4" t="s">
        <v>90</v>
      </c>
      <c r="F56" s="4" t="s">
        <v>168</v>
      </c>
      <c r="G56" s="4">
        <v>2006</v>
      </c>
      <c r="H56" s="3" t="s">
        <v>201</v>
      </c>
      <c r="I56" s="13">
        <v>2006</v>
      </c>
      <c r="J56" s="13">
        <f t="shared" si="9"/>
        <v>14</v>
      </c>
      <c r="K56" s="13"/>
      <c r="L56" s="24">
        <v>38945</v>
      </c>
      <c r="M56" s="23">
        <v>1</v>
      </c>
      <c r="N56" s="16"/>
      <c r="O56" s="16"/>
      <c r="P56" s="23">
        <v>1</v>
      </c>
      <c r="Q56" s="16"/>
      <c r="R56" s="16"/>
      <c r="S56" s="16"/>
      <c r="T56" s="16"/>
      <c r="U56" s="16"/>
      <c r="V56" s="49"/>
      <c r="W56" s="49"/>
      <c r="X56" s="50"/>
      <c r="Y56" s="162" t="s">
        <v>195</v>
      </c>
      <c r="Z56" s="144"/>
      <c r="AA56" s="144"/>
      <c r="AB56" s="144"/>
      <c r="AC56" s="149">
        <v>505149</v>
      </c>
      <c r="AD56" s="149">
        <f t="shared" si="6"/>
        <v>3536043</v>
      </c>
      <c r="AE56" s="150">
        <v>0.8</v>
      </c>
      <c r="AF56" s="150">
        <v>0.2</v>
      </c>
      <c r="AG56" s="149">
        <f t="shared" si="7"/>
        <v>404119.2</v>
      </c>
      <c r="AH56" s="139">
        <f t="shared" si="8"/>
        <v>101029.79999999999</v>
      </c>
      <c r="AI56" s="160"/>
      <c r="AJ56" s="11"/>
      <c r="AK56" s="12"/>
      <c r="AL56" s="17"/>
    </row>
    <row r="57" spans="1:38" ht="12.75" customHeight="1" x14ac:dyDescent="0.2">
      <c r="A57" s="125" t="s">
        <v>48</v>
      </c>
      <c r="B57" s="4"/>
      <c r="C57" s="5"/>
      <c r="D57" s="29">
        <v>6014</v>
      </c>
      <c r="E57" s="4" t="s">
        <v>90</v>
      </c>
      <c r="F57" s="4" t="s">
        <v>168</v>
      </c>
      <c r="G57" s="4">
        <v>2006</v>
      </c>
      <c r="H57" s="3" t="s">
        <v>202</v>
      </c>
      <c r="I57" s="13">
        <v>2006</v>
      </c>
      <c r="J57" s="13">
        <f t="shared" si="9"/>
        <v>14</v>
      </c>
      <c r="K57" s="13"/>
      <c r="L57" s="24">
        <v>38945</v>
      </c>
      <c r="M57" s="23">
        <v>1</v>
      </c>
      <c r="N57" s="16"/>
      <c r="O57" s="16"/>
      <c r="P57" s="23">
        <v>1</v>
      </c>
      <c r="Q57" s="16"/>
      <c r="R57" s="16"/>
      <c r="S57" s="16"/>
      <c r="T57" s="16"/>
      <c r="U57" s="16"/>
      <c r="V57" s="49"/>
      <c r="W57" s="49"/>
      <c r="X57" s="50"/>
      <c r="Y57" s="162" t="s">
        <v>195</v>
      </c>
      <c r="Z57" s="144"/>
      <c r="AA57" s="144"/>
      <c r="AB57" s="144"/>
      <c r="AC57" s="149">
        <v>505149</v>
      </c>
      <c r="AD57" s="149">
        <f t="shared" si="6"/>
        <v>4041192</v>
      </c>
      <c r="AE57" s="150">
        <v>0.8</v>
      </c>
      <c r="AF57" s="150">
        <v>0.2</v>
      </c>
      <c r="AG57" s="149">
        <f t="shared" si="7"/>
        <v>404119.2</v>
      </c>
      <c r="AH57" s="139">
        <f t="shared" si="8"/>
        <v>101029.79999999999</v>
      </c>
      <c r="AI57" s="160"/>
      <c r="AJ57" s="11"/>
      <c r="AK57" s="12"/>
      <c r="AL57" s="17"/>
    </row>
    <row r="58" spans="1:38" ht="12.75" customHeight="1" x14ac:dyDescent="0.2">
      <c r="A58" s="125" t="s">
        <v>50</v>
      </c>
      <c r="B58" s="4"/>
      <c r="C58" s="5"/>
      <c r="D58" s="29">
        <v>6015</v>
      </c>
      <c r="E58" s="4" t="s">
        <v>90</v>
      </c>
      <c r="F58" s="4" t="s">
        <v>168</v>
      </c>
      <c r="G58" s="4">
        <v>2006</v>
      </c>
      <c r="H58" s="3" t="s">
        <v>203</v>
      </c>
      <c r="I58" s="13">
        <v>2006</v>
      </c>
      <c r="J58" s="13">
        <f t="shared" si="9"/>
        <v>14</v>
      </c>
      <c r="K58" s="13"/>
      <c r="L58" s="24">
        <v>38945</v>
      </c>
      <c r="M58" s="23">
        <v>1</v>
      </c>
      <c r="N58" s="16"/>
      <c r="O58" s="16"/>
      <c r="P58" s="23">
        <v>1</v>
      </c>
      <c r="Q58" s="16"/>
      <c r="R58" s="16"/>
      <c r="S58" s="16"/>
      <c r="T58" s="16"/>
      <c r="U58" s="16"/>
      <c r="V58" s="49"/>
      <c r="W58" s="49"/>
      <c r="X58" s="50"/>
      <c r="Y58" s="162" t="s">
        <v>195</v>
      </c>
      <c r="Z58" s="144"/>
      <c r="AA58" s="144"/>
      <c r="AB58" s="144"/>
      <c r="AC58" s="149">
        <v>505149</v>
      </c>
      <c r="AD58" s="149">
        <f t="shared" si="6"/>
        <v>4546341</v>
      </c>
      <c r="AE58" s="150">
        <v>0.8</v>
      </c>
      <c r="AF58" s="150">
        <v>0.2</v>
      </c>
      <c r="AG58" s="149">
        <f t="shared" si="7"/>
        <v>404119.2</v>
      </c>
      <c r="AH58" s="139">
        <f t="shared" si="8"/>
        <v>101029.79999999999</v>
      </c>
      <c r="AI58" s="160"/>
      <c r="AJ58" s="11"/>
      <c r="AK58" s="12"/>
      <c r="AL58" s="17"/>
    </row>
    <row r="59" spans="1:38" ht="12.75" customHeight="1" x14ac:dyDescent="0.2">
      <c r="A59" s="125" t="s">
        <v>52</v>
      </c>
      <c r="B59" s="4"/>
      <c r="C59" s="5"/>
      <c r="D59" s="29">
        <v>6016</v>
      </c>
      <c r="E59" s="4" t="s">
        <v>90</v>
      </c>
      <c r="F59" s="4" t="s">
        <v>168</v>
      </c>
      <c r="G59" s="4">
        <v>2006</v>
      </c>
      <c r="H59" s="3" t="s">
        <v>204</v>
      </c>
      <c r="I59" s="13">
        <v>2006</v>
      </c>
      <c r="J59" s="13">
        <f t="shared" si="9"/>
        <v>14</v>
      </c>
      <c r="K59" s="13"/>
      <c r="L59" s="24">
        <v>38945</v>
      </c>
      <c r="M59" s="23">
        <v>1</v>
      </c>
      <c r="N59" s="16"/>
      <c r="O59" s="16"/>
      <c r="P59" s="23">
        <v>1</v>
      </c>
      <c r="Q59" s="16"/>
      <c r="R59" s="16"/>
      <c r="S59" s="16"/>
      <c r="T59" s="16"/>
      <c r="U59" s="16"/>
      <c r="V59" s="49"/>
      <c r="W59" s="49"/>
      <c r="X59" s="50"/>
      <c r="Y59" s="162" t="s">
        <v>195</v>
      </c>
      <c r="Z59" s="144"/>
      <c r="AA59" s="144"/>
      <c r="AB59" s="144"/>
      <c r="AC59" s="149">
        <v>505149</v>
      </c>
      <c r="AD59" s="149">
        <f t="shared" si="6"/>
        <v>5051490</v>
      </c>
      <c r="AE59" s="150">
        <v>0.8</v>
      </c>
      <c r="AF59" s="150">
        <v>0.2</v>
      </c>
      <c r="AG59" s="149">
        <f t="shared" si="7"/>
        <v>404119.2</v>
      </c>
      <c r="AH59" s="139">
        <f t="shared" si="8"/>
        <v>101029.79999999999</v>
      </c>
      <c r="AI59" s="160"/>
      <c r="AJ59" s="11"/>
      <c r="AK59" s="12"/>
      <c r="AL59" s="17"/>
    </row>
    <row r="60" spans="1:38" ht="12.75" customHeight="1" x14ac:dyDescent="0.2">
      <c r="A60" s="125" t="s">
        <v>54</v>
      </c>
      <c r="B60" s="4"/>
      <c r="C60" s="5"/>
      <c r="D60" s="29">
        <v>6017</v>
      </c>
      <c r="E60" s="4" t="s">
        <v>90</v>
      </c>
      <c r="F60" s="4" t="s">
        <v>168</v>
      </c>
      <c r="G60" s="4">
        <v>2006</v>
      </c>
      <c r="H60" s="3" t="s">
        <v>205</v>
      </c>
      <c r="I60" s="13">
        <v>2006</v>
      </c>
      <c r="J60" s="13">
        <f t="shared" si="9"/>
        <v>14</v>
      </c>
      <c r="K60" s="13"/>
      <c r="L60" s="24">
        <v>38945</v>
      </c>
      <c r="M60" s="23">
        <v>1</v>
      </c>
      <c r="N60" s="16"/>
      <c r="O60" s="16"/>
      <c r="P60" s="23">
        <v>1</v>
      </c>
      <c r="Q60" s="16"/>
      <c r="R60" s="16"/>
      <c r="S60" s="16"/>
      <c r="T60" s="16"/>
      <c r="U60" s="16"/>
      <c r="V60" s="49"/>
      <c r="W60" s="49"/>
      <c r="X60" s="50"/>
      <c r="Y60" s="162" t="s">
        <v>195</v>
      </c>
      <c r="Z60" s="71"/>
      <c r="AA60" s="154"/>
      <c r="AB60" s="154"/>
      <c r="AC60" s="149">
        <v>505149</v>
      </c>
      <c r="AD60" s="149">
        <f t="shared" si="6"/>
        <v>5556639</v>
      </c>
      <c r="AE60" s="150">
        <v>0.8</v>
      </c>
      <c r="AF60" s="150">
        <v>0.2</v>
      </c>
      <c r="AG60" s="149">
        <f t="shared" si="7"/>
        <v>404119.2</v>
      </c>
      <c r="AH60" s="139">
        <f t="shared" si="8"/>
        <v>101029.79999999999</v>
      </c>
      <c r="AI60" s="156"/>
      <c r="AJ60" s="11"/>
      <c r="AK60" s="12"/>
      <c r="AL60" s="17"/>
    </row>
    <row r="61" spans="1:38" ht="12.75" customHeight="1" x14ac:dyDescent="0.2">
      <c r="A61" s="125" t="s">
        <v>56</v>
      </c>
      <c r="B61" s="4"/>
      <c r="C61" s="5"/>
      <c r="D61" s="29">
        <v>6018</v>
      </c>
      <c r="E61" s="4" t="s">
        <v>90</v>
      </c>
      <c r="F61" s="4" t="s">
        <v>168</v>
      </c>
      <c r="G61" s="4">
        <v>2006</v>
      </c>
      <c r="H61" s="3" t="s">
        <v>206</v>
      </c>
      <c r="I61" s="13">
        <v>2006</v>
      </c>
      <c r="J61" s="13">
        <f t="shared" si="9"/>
        <v>14</v>
      </c>
      <c r="K61" s="13"/>
      <c r="L61" s="24">
        <v>38945</v>
      </c>
      <c r="M61" s="23">
        <v>1</v>
      </c>
      <c r="N61" s="16"/>
      <c r="O61" s="16"/>
      <c r="P61" s="23">
        <v>1</v>
      </c>
      <c r="Q61" s="16"/>
      <c r="R61" s="16"/>
      <c r="S61" s="16"/>
      <c r="T61" s="16"/>
      <c r="U61" s="16"/>
      <c r="V61" s="49"/>
      <c r="W61" s="49"/>
      <c r="X61" s="50"/>
      <c r="Y61" s="162" t="s">
        <v>207</v>
      </c>
      <c r="Z61" s="13"/>
      <c r="AA61" s="138"/>
      <c r="AB61" s="138"/>
      <c r="AC61" s="149">
        <v>505149</v>
      </c>
      <c r="AD61" s="149">
        <f>AD60+AC61</f>
        <v>6061788</v>
      </c>
      <c r="AE61" s="150">
        <v>0.8</v>
      </c>
      <c r="AF61" s="150">
        <v>0.2</v>
      </c>
      <c r="AG61" s="149">
        <f t="shared" si="7"/>
        <v>404119.2</v>
      </c>
      <c r="AH61" s="139">
        <f t="shared" si="8"/>
        <v>101029.79999999999</v>
      </c>
      <c r="AI61" s="156"/>
      <c r="AJ61" s="11"/>
      <c r="AK61" s="12"/>
      <c r="AL61" s="17"/>
    </row>
    <row r="62" spans="1:38" ht="12.75" customHeight="1" x14ac:dyDescent="0.2">
      <c r="A62" s="125" t="s">
        <v>58</v>
      </c>
      <c r="B62" s="4"/>
      <c r="C62" s="5"/>
      <c r="D62" s="29">
        <v>6019</v>
      </c>
      <c r="E62" s="4" t="s">
        <v>90</v>
      </c>
      <c r="F62" s="4" t="s">
        <v>168</v>
      </c>
      <c r="G62" s="4">
        <v>2006</v>
      </c>
      <c r="H62" s="3" t="s">
        <v>208</v>
      </c>
      <c r="I62" s="13">
        <v>2006</v>
      </c>
      <c r="J62" s="13">
        <f t="shared" si="9"/>
        <v>14</v>
      </c>
      <c r="K62" s="13"/>
      <c r="L62" s="24">
        <v>38945</v>
      </c>
      <c r="M62" s="23">
        <v>1</v>
      </c>
      <c r="N62" s="16"/>
      <c r="O62" s="16"/>
      <c r="P62" s="23">
        <v>1</v>
      </c>
      <c r="Q62" s="16"/>
      <c r="R62" s="16"/>
      <c r="S62" s="16"/>
      <c r="T62" s="16"/>
      <c r="U62" s="16"/>
      <c r="V62" s="49"/>
      <c r="W62" s="49"/>
      <c r="X62" s="50"/>
      <c r="Y62" s="162" t="s">
        <v>209</v>
      </c>
      <c r="Z62" s="138"/>
      <c r="AA62" s="138">
        <v>104648</v>
      </c>
      <c r="AB62" s="138" t="s">
        <v>210</v>
      </c>
      <c r="AC62" s="149">
        <v>505149</v>
      </c>
      <c r="AD62" s="149">
        <f t="shared" si="6"/>
        <v>6566937</v>
      </c>
      <c r="AE62" s="150">
        <v>0.8</v>
      </c>
      <c r="AF62" s="150">
        <v>0.2</v>
      </c>
      <c r="AG62" s="149">
        <f t="shared" si="7"/>
        <v>404119.2</v>
      </c>
      <c r="AH62" s="139">
        <f t="shared" si="8"/>
        <v>101029.79999999999</v>
      </c>
      <c r="AI62" s="156"/>
      <c r="AJ62" s="11"/>
      <c r="AK62" s="12"/>
      <c r="AL62" s="17"/>
    </row>
    <row r="63" spans="1:38" ht="12.75" customHeight="1" x14ac:dyDescent="0.2">
      <c r="A63" s="125" t="s">
        <v>60</v>
      </c>
      <c r="B63" s="4"/>
      <c r="C63" s="5"/>
      <c r="D63" s="29">
        <v>6020</v>
      </c>
      <c r="E63" s="4" t="s">
        <v>90</v>
      </c>
      <c r="F63" s="4" t="s">
        <v>168</v>
      </c>
      <c r="G63" s="4">
        <v>2006</v>
      </c>
      <c r="H63" s="3" t="s">
        <v>211</v>
      </c>
      <c r="I63" s="13">
        <v>2006</v>
      </c>
      <c r="J63" s="13">
        <f t="shared" si="9"/>
        <v>14</v>
      </c>
      <c r="K63" s="13"/>
      <c r="L63" s="24">
        <v>38958</v>
      </c>
      <c r="M63" s="23">
        <v>1</v>
      </c>
      <c r="N63" s="16"/>
      <c r="O63" s="16"/>
      <c r="P63" s="23">
        <v>1</v>
      </c>
      <c r="Q63" s="16"/>
      <c r="R63" s="16"/>
      <c r="S63" s="16"/>
      <c r="T63" s="16"/>
      <c r="U63" s="16"/>
      <c r="V63" s="49"/>
      <c r="W63" s="49"/>
      <c r="X63" s="49"/>
      <c r="Y63" s="162" t="s">
        <v>209</v>
      </c>
      <c r="Z63" s="138"/>
      <c r="AA63" s="138"/>
      <c r="AB63" s="138"/>
      <c r="AC63" s="149">
        <v>505149</v>
      </c>
      <c r="AD63" s="149">
        <f t="shared" si="6"/>
        <v>7072086</v>
      </c>
      <c r="AE63" s="150">
        <v>0.8</v>
      </c>
      <c r="AF63" s="150">
        <v>0.2</v>
      </c>
      <c r="AG63" s="149">
        <f t="shared" si="7"/>
        <v>404119.2</v>
      </c>
      <c r="AH63" s="139">
        <f t="shared" si="8"/>
        <v>101029.79999999999</v>
      </c>
      <c r="AI63" s="156"/>
      <c r="AJ63" s="11"/>
      <c r="AK63" s="12"/>
      <c r="AL63" s="17"/>
    </row>
    <row r="64" spans="1:38" ht="12.75" customHeight="1" x14ac:dyDescent="0.2">
      <c r="A64" s="125" t="s">
        <v>115</v>
      </c>
      <c r="B64" s="4"/>
      <c r="C64" s="5"/>
      <c r="D64" s="29">
        <v>6021</v>
      </c>
      <c r="E64" s="4" t="s">
        <v>90</v>
      </c>
      <c r="F64" s="4" t="s">
        <v>168</v>
      </c>
      <c r="G64" s="4">
        <v>2006</v>
      </c>
      <c r="H64" s="3" t="s">
        <v>212</v>
      </c>
      <c r="I64" s="13">
        <v>2006</v>
      </c>
      <c r="J64" s="13">
        <f t="shared" si="9"/>
        <v>14</v>
      </c>
      <c r="K64" s="13"/>
      <c r="L64" s="24">
        <v>38958</v>
      </c>
      <c r="M64" s="23">
        <v>1</v>
      </c>
      <c r="N64" s="16"/>
      <c r="O64" s="16"/>
      <c r="P64" s="23">
        <v>1</v>
      </c>
      <c r="Q64" s="16"/>
      <c r="R64" s="16"/>
      <c r="S64" s="16"/>
      <c r="T64" s="16"/>
      <c r="U64" s="16"/>
      <c r="V64" s="49"/>
      <c r="W64" s="49"/>
      <c r="X64" s="49"/>
      <c r="Y64" s="162" t="s">
        <v>209</v>
      </c>
      <c r="Z64" s="138"/>
      <c r="AA64" s="138"/>
      <c r="AB64" s="138"/>
      <c r="AC64" s="149">
        <v>505149</v>
      </c>
      <c r="AD64" s="149">
        <f t="shared" si="6"/>
        <v>7577235</v>
      </c>
      <c r="AE64" s="150">
        <v>0.8</v>
      </c>
      <c r="AF64" s="150">
        <v>0.2</v>
      </c>
      <c r="AG64" s="149">
        <f t="shared" si="7"/>
        <v>404119.2</v>
      </c>
      <c r="AH64" s="139">
        <f t="shared" si="8"/>
        <v>101029.79999999999</v>
      </c>
      <c r="AI64" s="156"/>
      <c r="AJ64" s="11"/>
      <c r="AK64" s="12"/>
      <c r="AL64" s="17"/>
    </row>
    <row r="65" spans="1:38" ht="12.75" customHeight="1" x14ac:dyDescent="0.2">
      <c r="A65" s="125" t="s">
        <v>117</v>
      </c>
      <c r="B65" s="4"/>
      <c r="C65" s="5"/>
      <c r="D65" s="29">
        <v>6024</v>
      </c>
      <c r="E65" s="4" t="s">
        <v>90</v>
      </c>
      <c r="F65" s="4" t="s">
        <v>168</v>
      </c>
      <c r="G65" s="4">
        <v>2006</v>
      </c>
      <c r="H65" s="3" t="s">
        <v>213</v>
      </c>
      <c r="I65" s="13">
        <v>2006</v>
      </c>
      <c r="J65" s="13">
        <f t="shared" si="9"/>
        <v>14</v>
      </c>
      <c r="K65" s="13"/>
      <c r="L65" s="24">
        <v>38958</v>
      </c>
      <c r="M65" s="23">
        <v>1</v>
      </c>
      <c r="N65" s="16"/>
      <c r="O65" s="16"/>
      <c r="P65" s="23">
        <v>1</v>
      </c>
      <c r="Q65" s="16"/>
      <c r="R65" s="16"/>
      <c r="S65" s="16"/>
      <c r="T65" s="16"/>
      <c r="U65" s="16"/>
      <c r="V65" s="49"/>
      <c r="W65" s="49"/>
      <c r="X65" s="49"/>
      <c r="Y65" s="162" t="s">
        <v>209</v>
      </c>
      <c r="Z65" s="138"/>
      <c r="AA65" s="138"/>
      <c r="AB65" s="138"/>
      <c r="AC65" s="149">
        <v>505149</v>
      </c>
      <c r="AD65" s="149">
        <f t="shared" si="6"/>
        <v>8082384</v>
      </c>
      <c r="AE65" s="150">
        <v>0.8</v>
      </c>
      <c r="AF65" s="150">
        <v>0.2</v>
      </c>
      <c r="AG65" s="149">
        <f t="shared" si="7"/>
        <v>404119.2</v>
      </c>
      <c r="AH65" s="139">
        <f t="shared" si="8"/>
        <v>101029.79999999999</v>
      </c>
      <c r="AI65" s="156"/>
      <c r="AJ65" s="11"/>
      <c r="AK65" s="12"/>
      <c r="AL65" s="17"/>
    </row>
    <row r="66" spans="1:38" ht="12.75" customHeight="1" x14ac:dyDescent="0.2">
      <c r="A66" s="125" t="s">
        <v>121</v>
      </c>
      <c r="B66" s="4"/>
      <c r="C66" s="5"/>
      <c r="D66" s="30">
        <v>6025</v>
      </c>
      <c r="E66" s="4" t="s">
        <v>90</v>
      </c>
      <c r="F66" s="4" t="s">
        <v>168</v>
      </c>
      <c r="G66" s="4">
        <v>2006</v>
      </c>
      <c r="H66" s="3" t="s">
        <v>214</v>
      </c>
      <c r="I66" s="13">
        <v>2006</v>
      </c>
      <c r="J66" s="13">
        <f t="shared" si="9"/>
        <v>14</v>
      </c>
      <c r="K66" s="13"/>
      <c r="L66" s="24">
        <v>38958</v>
      </c>
      <c r="M66" s="23">
        <v>1</v>
      </c>
      <c r="N66" s="16"/>
      <c r="O66" s="16"/>
      <c r="P66" s="23">
        <v>1</v>
      </c>
      <c r="Q66" s="16"/>
      <c r="R66" s="16"/>
      <c r="S66" s="16"/>
      <c r="T66" s="16"/>
      <c r="U66" s="16"/>
      <c r="V66" s="49"/>
      <c r="W66" s="49"/>
      <c r="X66" s="49"/>
      <c r="Y66" s="162" t="s">
        <v>209</v>
      </c>
      <c r="Z66" s="138"/>
      <c r="AA66" s="138"/>
      <c r="AB66" s="138"/>
      <c r="AC66" s="149">
        <v>505149</v>
      </c>
      <c r="AD66" s="149">
        <f t="shared" si="6"/>
        <v>8587533</v>
      </c>
      <c r="AE66" s="150">
        <v>0.8</v>
      </c>
      <c r="AF66" s="150">
        <v>0.2</v>
      </c>
      <c r="AG66" s="149">
        <f t="shared" si="7"/>
        <v>404119.2</v>
      </c>
      <c r="AH66" s="139">
        <f t="shared" si="8"/>
        <v>101029.79999999999</v>
      </c>
      <c r="AI66" s="156"/>
      <c r="AJ66" s="11"/>
      <c r="AK66" s="12"/>
      <c r="AL66" s="17"/>
    </row>
    <row r="67" spans="1:38" ht="12.75" customHeight="1" x14ac:dyDescent="0.2">
      <c r="A67" s="125" t="s">
        <v>125</v>
      </c>
      <c r="B67" s="4"/>
      <c r="C67" s="5"/>
      <c r="D67" s="29">
        <v>6026</v>
      </c>
      <c r="E67" s="4" t="s">
        <v>90</v>
      </c>
      <c r="F67" s="4" t="s">
        <v>168</v>
      </c>
      <c r="G67" s="4">
        <v>2006</v>
      </c>
      <c r="H67" s="3" t="s">
        <v>215</v>
      </c>
      <c r="I67" s="13">
        <v>2006</v>
      </c>
      <c r="J67" s="13">
        <f t="shared" si="9"/>
        <v>14</v>
      </c>
      <c r="K67" s="13"/>
      <c r="L67" s="24">
        <v>38958</v>
      </c>
      <c r="M67" s="23">
        <v>1</v>
      </c>
      <c r="N67" s="16"/>
      <c r="O67" s="16"/>
      <c r="P67" s="23">
        <v>1</v>
      </c>
      <c r="Q67" s="16"/>
      <c r="R67" s="16"/>
      <c r="S67" s="16"/>
      <c r="T67" s="16"/>
      <c r="U67" s="16"/>
      <c r="V67" s="49"/>
      <c r="W67" s="49"/>
      <c r="X67" s="49"/>
      <c r="Y67" s="162" t="s">
        <v>209</v>
      </c>
      <c r="Z67" s="138"/>
      <c r="AA67" s="138"/>
      <c r="AB67" s="138"/>
      <c r="AC67" s="149">
        <v>505149</v>
      </c>
      <c r="AD67" s="149">
        <f t="shared" si="6"/>
        <v>9092682</v>
      </c>
      <c r="AE67" s="150">
        <v>0.8</v>
      </c>
      <c r="AF67" s="150">
        <v>0.2</v>
      </c>
      <c r="AG67" s="149">
        <f t="shared" si="7"/>
        <v>404119.2</v>
      </c>
      <c r="AH67" s="139">
        <f t="shared" si="8"/>
        <v>101029.79999999999</v>
      </c>
      <c r="AI67" s="156"/>
      <c r="AJ67" s="11"/>
      <c r="AK67" s="12"/>
      <c r="AL67" s="17"/>
    </row>
    <row r="68" spans="1:38" ht="12.75" customHeight="1" x14ac:dyDescent="0.2">
      <c r="A68" s="125" t="s">
        <v>127</v>
      </c>
      <c r="B68" s="4"/>
      <c r="C68" s="5"/>
      <c r="D68" s="4">
        <v>6027</v>
      </c>
      <c r="E68" s="4" t="s">
        <v>90</v>
      </c>
      <c r="F68" s="4" t="s">
        <v>168</v>
      </c>
      <c r="G68" s="4">
        <v>2006</v>
      </c>
      <c r="H68" s="3" t="s">
        <v>216</v>
      </c>
      <c r="I68" s="13">
        <v>2006</v>
      </c>
      <c r="J68" s="13">
        <f t="shared" si="9"/>
        <v>14</v>
      </c>
      <c r="K68" s="13"/>
      <c r="L68" s="24">
        <v>38958</v>
      </c>
      <c r="M68" s="23">
        <v>1</v>
      </c>
      <c r="N68" s="16"/>
      <c r="O68" s="16"/>
      <c r="P68" s="23">
        <v>1</v>
      </c>
      <c r="Q68" s="16"/>
      <c r="R68" s="16"/>
      <c r="S68" s="16"/>
      <c r="T68" s="16"/>
      <c r="U68" s="16"/>
      <c r="V68" s="49"/>
      <c r="W68" s="49"/>
      <c r="X68" s="49"/>
      <c r="Y68" s="162" t="s">
        <v>209</v>
      </c>
      <c r="Z68" s="144"/>
      <c r="AA68" s="138"/>
      <c r="AB68" s="138"/>
      <c r="AC68" s="149">
        <v>505149</v>
      </c>
      <c r="AD68" s="149">
        <f t="shared" si="6"/>
        <v>9597831</v>
      </c>
      <c r="AE68" s="150">
        <v>0.8</v>
      </c>
      <c r="AF68" s="150">
        <v>0.2</v>
      </c>
      <c r="AG68" s="149">
        <f t="shared" si="7"/>
        <v>404119.2</v>
      </c>
      <c r="AH68" s="139">
        <f t="shared" si="8"/>
        <v>101029.79999999999</v>
      </c>
      <c r="AI68" s="156"/>
      <c r="AJ68" s="11"/>
      <c r="AK68" s="12"/>
      <c r="AL68" s="17"/>
    </row>
    <row r="69" spans="1:38" ht="12.75" customHeight="1" x14ac:dyDescent="0.2">
      <c r="A69" s="163"/>
      <c r="B69" s="76"/>
      <c r="C69" s="77"/>
      <c r="D69" s="76"/>
      <c r="E69" s="76"/>
      <c r="F69" s="76"/>
      <c r="G69" s="76"/>
      <c r="H69" s="78"/>
      <c r="I69" s="60"/>
      <c r="J69" s="60"/>
      <c r="K69" s="60"/>
      <c r="L69" s="79"/>
      <c r="M69" s="80"/>
      <c r="N69" s="80"/>
      <c r="O69" s="80"/>
      <c r="P69" s="80"/>
      <c r="Q69" s="80"/>
      <c r="R69" s="80"/>
      <c r="S69" s="80"/>
      <c r="T69" s="80"/>
      <c r="U69" s="80"/>
      <c r="V69" s="80"/>
      <c r="W69" s="80"/>
      <c r="X69" s="80"/>
      <c r="Y69" s="147"/>
      <c r="Z69" s="147"/>
      <c r="AA69" s="147"/>
      <c r="AB69" s="74" t="s">
        <v>217</v>
      </c>
      <c r="AC69" s="75">
        <f>SUM(AC50:AC68)</f>
        <v>9597831</v>
      </c>
      <c r="AD69" s="12"/>
      <c r="AE69" s="12"/>
      <c r="AF69" s="12"/>
      <c r="AG69" s="75">
        <f>SUM(AG50:AG68)</f>
        <v>7678264.8000000026</v>
      </c>
      <c r="AH69" s="84">
        <f>SUM(AH50:AH68)</f>
        <v>1919566.2000000004</v>
      </c>
      <c r="AI69" s="12"/>
      <c r="AJ69" s="12"/>
      <c r="AK69" s="12"/>
      <c r="AL69" s="12"/>
    </row>
    <row r="70" spans="1:38" x14ac:dyDescent="0.2">
      <c r="B70" s="6"/>
      <c r="C70" s="6"/>
      <c r="D70" s="6"/>
      <c r="E70" s="6"/>
      <c r="F70" s="6"/>
      <c r="G70" s="6"/>
      <c r="H70" s="6"/>
      <c r="I70" s="7"/>
      <c r="J70" s="7"/>
      <c r="K70" s="7"/>
      <c r="L70" s="9"/>
      <c r="M70" s="9"/>
      <c r="N70" s="7"/>
      <c r="O70" s="7"/>
      <c r="P70" s="7"/>
      <c r="Q70" s="7"/>
      <c r="R70" s="7"/>
      <c r="S70" s="7"/>
      <c r="T70" s="7"/>
      <c r="U70" s="7"/>
      <c r="V70" s="7"/>
      <c r="W70" s="7"/>
      <c r="X70" s="7"/>
      <c r="Y70" s="7"/>
      <c r="Z70" s="72"/>
      <c r="AA70" s="7"/>
      <c r="AB70" s="7"/>
      <c r="AC70" s="7"/>
      <c r="AD70" s="7"/>
      <c r="AE70" s="7"/>
      <c r="AF70" s="7"/>
      <c r="AG70" s="7"/>
      <c r="AH70" s="7"/>
      <c r="AI70" s="7"/>
      <c r="AJ70" s="10"/>
    </row>
    <row r="71" spans="1:38" ht="12.75" customHeight="1" x14ac:dyDescent="0.2">
      <c r="A71" s="55" t="s">
        <v>28</v>
      </c>
      <c r="B71" s="4"/>
      <c r="C71" s="5"/>
      <c r="D71" s="53" t="s">
        <v>218</v>
      </c>
      <c r="E71" s="21"/>
      <c r="F71" s="21"/>
      <c r="G71" s="21"/>
      <c r="H71" s="22"/>
      <c r="I71" s="13"/>
      <c r="J71" s="13"/>
      <c r="K71" s="13"/>
      <c r="L71" s="8"/>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7"/>
    </row>
    <row r="72" spans="1:38" ht="12.75" customHeight="1" x14ac:dyDescent="0.2">
      <c r="A72" s="125" t="s">
        <v>30</v>
      </c>
      <c r="B72" s="4"/>
      <c r="C72" s="5"/>
      <c r="D72" s="29">
        <v>6028</v>
      </c>
      <c r="E72" s="4" t="s">
        <v>90</v>
      </c>
      <c r="F72" s="4" t="s">
        <v>168</v>
      </c>
      <c r="G72" s="4">
        <v>2006</v>
      </c>
      <c r="H72" s="3" t="s">
        <v>219</v>
      </c>
      <c r="I72" s="13">
        <v>2006</v>
      </c>
      <c r="J72" s="13">
        <f>2021-I72</f>
        <v>15</v>
      </c>
      <c r="K72" s="13"/>
      <c r="L72" s="8"/>
      <c r="M72" s="16"/>
      <c r="N72" s="16"/>
      <c r="O72" s="16"/>
      <c r="P72" s="16"/>
      <c r="Q72" s="16"/>
      <c r="R72" s="16"/>
      <c r="S72" s="16"/>
      <c r="T72" s="16"/>
      <c r="U72" s="16"/>
      <c r="V72" s="16"/>
      <c r="W72" s="16"/>
      <c r="X72" s="16"/>
      <c r="Y72" s="164" t="s">
        <v>220</v>
      </c>
      <c r="Z72" s="23"/>
      <c r="AA72" s="138">
        <v>107283</v>
      </c>
      <c r="AB72" s="138" t="s">
        <v>221</v>
      </c>
      <c r="AC72" s="149">
        <v>517777.73</v>
      </c>
      <c r="AD72" s="149">
        <f>AC72</f>
        <v>517777.73</v>
      </c>
      <c r="AE72" s="150">
        <v>0.59</v>
      </c>
      <c r="AF72" s="150">
        <v>0.41</v>
      </c>
      <c r="AG72" s="149">
        <f>AE72*AC72</f>
        <v>305488.86069999996</v>
      </c>
      <c r="AH72" s="149">
        <f>AC72-AG72</f>
        <v>212288.86930000002</v>
      </c>
      <c r="AI72" s="16"/>
      <c r="AJ72" s="16"/>
      <c r="AK72" s="82"/>
      <c r="AL72" s="17"/>
    </row>
    <row r="73" spans="1:38" ht="12.75" customHeight="1" x14ac:dyDescent="0.2">
      <c r="A73" s="125" t="s">
        <v>36</v>
      </c>
      <c r="B73" s="4"/>
      <c r="C73" s="5"/>
      <c r="D73" s="29">
        <v>6029</v>
      </c>
      <c r="E73" s="4" t="s">
        <v>90</v>
      </c>
      <c r="F73" s="4" t="s">
        <v>168</v>
      </c>
      <c r="G73" s="4">
        <v>2006</v>
      </c>
      <c r="H73" s="3" t="s">
        <v>222</v>
      </c>
      <c r="I73" s="13">
        <v>2006</v>
      </c>
      <c r="J73" s="13">
        <f t="shared" ref="J73:J82" si="10">2021-I73</f>
        <v>15</v>
      </c>
      <c r="K73" s="13"/>
      <c r="L73" s="8"/>
      <c r="M73" s="16"/>
      <c r="N73" s="16"/>
      <c r="O73" s="16"/>
      <c r="P73" s="16"/>
      <c r="Q73" s="16"/>
      <c r="R73" s="16"/>
      <c r="S73" s="16"/>
      <c r="T73" s="16"/>
      <c r="U73" s="16"/>
      <c r="V73" s="16"/>
      <c r="W73" s="16"/>
      <c r="X73" s="16"/>
      <c r="Y73" s="164" t="s">
        <v>220</v>
      </c>
      <c r="Z73" s="23"/>
      <c r="AA73" s="138"/>
      <c r="AB73" s="138" t="s">
        <v>221</v>
      </c>
      <c r="AC73" s="149">
        <v>517777.73</v>
      </c>
      <c r="AD73" s="149">
        <f>AD72+AC73</f>
        <v>1035555.46</v>
      </c>
      <c r="AE73" s="150">
        <v>0.59</v>
      </c>
      <c r="AF73" s="150">
        <v>0.41</v>
      </c>
      <c r="AG73" s="149">
        <f>AE73*AC73</f>
        <v>305488.86069999996</v>
      </c>
      <c r="AH73" s="149">
        <f>AC73-AG73</f>
        <v>212288.86930000002</v>
      </c>
      <c r="AI73" s="16"/>
      <c r="AJ73" s="16"/>
      <c r="AK73" s="82"/>
      <c r="AL73" s="17"/>
    </row>
    <row r="74" spans="1:38" ht="12.75" customHeight="1" x14ac:dyDescent="0.2">
      <c r="A74" s="125" t="s">
        <v>38</v>
      </c>
      <c r="B74" s="4"/>
      <c r="C74" s="5"/>
      <c r="D74" s="29">
        <v>6030</v>
      </c>
      <c r="E74" s="4" t="s">
        <v>90</v>
      </c>
      <c r="F74" s="4" t="s">
        <v>168</v>
      </c>
      <c r="G74" s="4">
        <v>2006</v>
      </c>
      <c r="H74" s="3" t="s">
        <v>223</v>
      </c>
      <c r="I74" s="13">
        <v>2006</v>
      </c>
      <c r="J74" s="13">
        <f t="shared" si="10"/>
        <v>15</v>
      </c>
      <c r="K74" s="13"/>
      <c r="L74" s="8"/>
      <c r="M74" s="16"/>
      <c r="N74" s="16"/>
      <c r="O74" s="16"/>
      <c r="P74" s="16"/>
      <c r="Q74" s="16"/>
      <c r="R74" s="16"/>
      <c r="S74" s="16"/>
      <c r="T74" s="16"/>
      <c r="U74" s="16"/>
      <c r="V74" s="16"/>
      <c r="W74" s="16"/>
      <c r="X74" s="16"/>
      <c r="Y74" s="164" t="s">
        <v>220</v>
      </c>
      <c r="Z74" s="23"/>
      <c r="AA74" s="138"/>
      <c r="AB74" s="138" t="s">
        <v>221</v>
      </c>
      <c r="AC74" s="149">
        <v>517777.73</v>
      </c>
      <c r="AD74" s="149">
        <f t="shared" ref="AD74:AD86" si="11">AD73+AC74</f>
        <v>1553333.19</v>
      </c>
      <c r="AE74" s="150">
        <v>0.59</v>
      </c>
      <c r="AF74" s="150">
        <v>0.41</v>
      </c>
      <c r="AG74" s="149">
        <f>AE74*AC74</f>
        <v>305488.86069999996</v>
      </c>
      <c r="AH74" s="149">
        <f>AC74-AG74</f>
        <v>212288.86930000002</v>
      </c>
      <c r="AI74" s="16"/>
      <c r="AJ74" s="16"/>
      <c r="AK74" s="82"/>
      <c r="AL74" s="17"/>
    </row>
    <row r="75" spans="1:38" ht="12.75" customHeight="1" x14ac:dyDescent="0.2">
      <c r="A75" s="125" t="s">
        <v>40</v>
      </c>
      <c r="B75" s="4"/>
      <c r="C75" s="5"/>
      <c r="D75" s="29">
        <v>6031</v>
      </c>
      <c r="E75" s="4" t="s">
        <v>90</v>
      </c>
      <c r="F75" s="4" t="s">
        <v>168</v>
      </c>
      <c r="G75" s="4">
        <v>2006</v>
      </c>
      <c r="H75" s="3" t="s">
        <v>224</v>
      </c>
      <c r="I75" s="13">
        <v>2006</v>
      </c>
      <c r="J75" s="13">
        <f t="shared" si="10"/>
        <v>15</v>
      </c>
      <c r="K75" s="13"/>
      <c r="L75" s="24">
        <v>38958</v>
      </c>
      <c r="M75" s="23">
        <v>1</v>
      </c>
      <c r="N75" s="16"/>
      <c r="O75" s="16"/>
      <c r="P75" s="16"/>
      <c r="Q75" s="16"/>
      <c r="R75" s="16"/>
      <c r="S75" s="16"/>
      <c r="T75" s="16"/>
      <c r="U75" s="16"/>
      <c r="V75" s="49"/>
      <c r="W75" s="49"/>
      <c r="X75" s="49"/>
      <c r="Y75" s="164" t="s">
        <v>220</v>
      </c>
      <c r="Z75" s="13"/>
      <c r="AA75" s="138"/>
      <c r="AB75" s="138" t="s">
        <v>221</v>
      </c>
      <c r="AC75" s="149">
        <v>517777.73</v>
      </c>
      <c r="AD75" s="149">
        <f t="shared" si="11"/>
        <v>2071110.92</v>
      </c>
      <c r="AE75" s="150">
        <v>0.59</v>
      </c>
      <c r="AF75" s="150">
        <v>0.41</v>
      </c>
      <c r="AG75" s="149">
        <f t="shared" ref="AG75:AG84" si="12">AE75*AC75</f>
        <v>305488.86069999996</v>
      </c>
      <c r="AH75" s="149">
        <f t="shared" ref="AH75:AH84" si="13">AC75-AG75</f>
        <v>212288.86930000002</v>
      </c>
      <c r="AI75" s="139"/>
      <c r="AJ75" s="11"/>
      <c r="AK75" s="12"/>
      <c r="AL75" s="17"/>
    </row>
    <row r="76" spans="1:38" ht="12.75" customHeight="1" x14ac:dyDescent="0.2">
      <c r="A76" s="125" t="s">
        <v>42</v>
      </c>
      <c r="B76" s="4"/>
      <c r="C76" s="5"/>
      <c r="D76" s="29">
        <v>6032</v>
      </c>
      <c r="E76" s="4" t="s">
        <v>90</v>
      </c>
      <c r="F76" s="4" t="s">
        <v>168</v>
      </c>
      <c r="G76" s="4">
        <v>2006</v>
      </c>
      <c r="H76" s="3" t="s">
        <v>225</v>
      </c>
      <c r="I76" s="13">
        <v>2006</v>
      </c>
      <c r="J76" s="13">
        <f t="shared" si="10"/>
        <v>15</v>
      </c>
      <c r="K76" s="13"/>
      <c r="L76" s="24">
        <v>38961</v>
      </c>
      <c r="M76" s="23">
        <v>1</v>
      </c>
      <c r="N76" s="16"/>
      <c r="O76" s="16"/>
      <c r="P76" s="16"/>
      <c r="Q76" s="16"/>
      <c r="R76" s="16"/>
      <c r="S76" s="16"/>
      <c r="T76" s="16"/>
      <c r="U76" s="16"/>
      <c r="V76" s="49"/>
      <c r="W76" s="49"/>
      <c r="X76" s="49"/>
      <c r="Y76" s="164" t="s">
        <v>220</v>
      </c>
      <c r="Z76" s="13"/>
      <c r="AA76" s="138"/>
      <c r="AB76" s="138" t="s">
        <v>221</v>
      </c>
      <c r="AC76" s="149">
        <v>517777.73</v>
      </c>
      <c r="AD76" s="149">
        <f t="shared" si="11"/>
        <v>2588888.65</v>
      </c>
      <c r="AE76" s="150">
        <v>0.59</v>
      </c>
      <c r="AF76" s="150">
        <v>0.41</v>
      </c>
      <c r="AG76" s="149">
        <f t="shared" si="12"/>
        <v>305488.86069999996</v>
      </c>
      <c r="AH76" s="149">
        <f t="shared" si="13"/>
        <v>212288.86930000002</v>
      </c>
      <c r="AI76" s="139"/>
      <c r="AJ76" s="11"/>
      <c r="AK76" s="12"/>
      <c r="AL76" s="17"/>
    </row>
    <row r="77" spans="1:38" ht="12.75" customHeight="1" x14ac:dyDescent="0.2">
      <c r="A77" s="125" t="s">
        <v>44</v>
      </c>
      <c r="B77" s="4"/>
      <c r="C77" s="5"/>
      <c r="D77" s="29">
        <v>6033</v>
      </c>
      <c r="E77" s="4" t="s">
        <v>90</v>
      </c>
      <c r="F77" s="4" t="s">
        <v>168</v>
      </c>
      <c r="G77" s="4">
        <v>2006</v>
      </c>
      <c r="H77" s="3" t="s">
        <v>226</v>
      </c>
      <c r="I77" s="13">
        <v>2006</v>
      </c>
      <c r="J77" s="13">
        <f t="shared" si="10"/>
        <v>15</v>
      </c>
      <c r="K77" s="13"/>
      <c r="L77" s="24">
        <v>38960</v>
      </c>
      <c r="M77" s="23">
        <v>1</v>
      </c>
      <c r="N77" s="16"/>
      <c r="O77" s="16"/>
      <c r="P77" s="16"/>
      <c r="Q77" s="16"/>
      <c r="R77" s="16"/>
      <c r="S77" s="16"/>
      <c r="T77" s="16"/>
      <c r="U77" s="16"/>
      <c r="V77" s="49"/>
      <c r="W77" s="49"/>
      <c r="X77" s="49"/>
      <c r="Y77" s="164" t="s">
        <v>220</v>
      </c>
      <c r="Z77" s="13"/>
      <c r="AA77" s="138"/>
      <c r="AB77" s="138" t="s">
        <v>221</v>
      </c>
      <c r="AC77" s="149">
        <v>517777.73</v>
      </c>
      <c r="AD77" s="149">
        <f t="shared" si="11"/>
        <v>3106666.38</v>
      </c>
      <c r="AE77" s="150">
        <v>0.59</v>
      </c>
      <c r="AF77" s="150">
        <v>0.41</v>
      </c>
      <c r="AG77" s="149">
        <f t="shared" si="12"/>
        <v>305488.86069999996</v>
      </c>
      <c r="AH77" s="149">
        <f t="shared" si="13"/>
        <v>212288.86930000002</v>
      </c>
      <c r="AI77" s="139"/>
      <c r="AJ77" s="11"/>
      <c r="AK77" s="12"/>
      <c r="AL77" s="17"/>
    </row>
    <row r="78" spans="1:38" ht="12.75" customHeight="1" x14ac:dyDescent="0.2">
      <c r="A78" s="125" t="s">
        <v>46</v>
      </c>
      <c r="B78" s="4"/>
      <c r="C78" s="5"/>
      <c r="D78" s="29">
        <v>6034</v>
      </c>
      <c r="E78" s="4" t="s">
        <v>90</v>
      </c>
      <c r="F78" s="4" t="s">
        <v>168</v>
      </c>
      <c r="G78" s="4">
        <v>2006</v>
      </c>
      <c r="H78" s="3" t="s">
        <v>227</v>
      </c>
      <c r="I78" s="13">
        <v>2006</v>
      </c>
      <c r="J78" s="13">
        <f t="shared" si="10"/>
        <v>15</v>
      </c>
      <c r="K78" s="13"/>
      <c r="L78" s="24">
        <v>38960</v>
      </c>
      <c r="M78" s="23">
        <v>1</v>
      </c>
      <c r="N78" s="16"/>
      <c r="O78" s="16"/>
      <c r="P78" s="16"/>
      <c r="Q78" s="16"/>
      <c r="R78" s="16"/>
      <c r="S78" s="16"/>
      <c r="T78" s="16"/>
      <c r="U78" s="16"/>
      <c r="V78" s="49"/>
      <c r="W78" s="49"/>
      <c r="X78" s="49"/>
      <c r="Y78" s="164" t="s">
        <v>220</v>
      </c>
      <c r="Z78" s="13"/>
      <c r="AA78" s="138"/>
      <c r="AB78" s="138" t="s">
        <v>221</v>
      </c>
      <c r="AC78" s="149">
        <v>517777.73</v>
      </c>
      <c r="AD78" s="149">
        <f t="shared" si="11"/>
        <v>3624444.11</v>
      </c>
      <c r="AE78" s="150">
        <v>0.59</v>
      </c>
      <c r="AF78" s="150">
        <v>0.41</v>
      </c>
      <c r="AG78" s="149">
        <f t="shared" si="12"/>
        <v>305488.86069999996</v>
      </c>
      <c r="AH78" s="149">
        <f t="shared" si="13"/>
        <v>212288.86930000002</v>
      </c>
      <c r="AI78" s="139"/>
      <c r="AJ78" s="11"/>
      <c r="AK78" s="12"/>
      <c r="AL78" s="17"/>
    </row>
    <row r="79" spans="1:38" ht="12.75" customHeight="1" x14ac:dyDescent="0.2">
      <c r="A79" s="125" t="s">
        <v>48</v>
      </c>
      <c r="B79" s="4"/>
      <c r="C79" s="5"/>
      <c r="D79" s="29">
        <v>6035</v>
      </c>
      <c r="E79" s="4" t="s">
        <v>90</v>
      </c>
      <c r="F79" s="4" t="s">
        <v>168</v>
      </c>
      <c r="G79" s="4">
        <v>2006</v>
      </c>
      <c r="H79" s="3" t="s">
        <v>228</v>
      </c>
      <c r="I79" s="13">
        <v>2006</v>
      </c>
      <c r="J79" s="13">
        <f t="shared" si="10"/>
        <v>15</v>
      </c>
      <c r="K79" s="13"/>
      <c r="L79" s="24">
        <v>38958</v>
      </c>
      <c r="M79" s="23">
        <v>1</v>
      </c>
      <c r="N79" s="16"/>
      <c r="O79" s="16"/>
      <c r="P79" s="16"/>
      <c r="Q79" s="16"/>
      <c r="R79" s="16"/>
      <c r="S79" s="16"/>
      <c r="T79" s="16"/>
      <c r="U79" s="16"/>
      <c r="V79" s="49"/>
      <c r="W79" s="49"/>
      <c r="X79" s="49"/>
      <c r="Y79" s="164" t="s">
        <v>220</v>
      </c>
      <c r="Z79" s="13"/>
      <c r="AA79" s="138"/>
      <c r="AB79" s="138" t="s">
        <v>221</v>
      </c>
      <c r="AC79" s="149">
        <v>517777.73</v>
      </c>
      <c r="AD79" s="149">
        <f t="shared" si="11"/>
        <v>4142221.84</v>
      </c>
      <c r="AE79" s="150">
        <v>0.59</v>
      </c>
      <c r="AF79" s="150">
        <v>0.41</v>
      </c>
      <c r="AG79" s="149">
        <f t="shared" si="12"/>
        <v>305488.86069999996</v>
      </c>
      <c r="AH79" s="149">
        <f t="shared" si="13"/>
        <v>212288.86930000002</v>
      </c>
      <c r="AI79" s="139"/>
      <c r="AJ79" s="11"/>
      <c r="AK79" s="12"/>
      <c r="AL79" s="17"/>
    </row>
    <row r="80" spans="1:38" ht="12.75" customHeight="1" x14ac:dyDescent="0.2">
      <c r="A80" s="125" t="s">
        <v>50</v>
      </c>
      <c r="B80" s="4"/>
      <c r="C80" s="5"/>
      <c r="D80" s="29">
        <v>6036</v>
      </c>
      <c r="E80" s="4" t="s">
        <v>90</v>
      </c>
      <c r="F80" s="4" t="s">
        <v>168</v>
      </c>
      <c r="G80" s="4">
        <v>2006</v>
      </c>
      <c r="H80" s="3" t="s">
        <v>229</v>
      </c>
      <c r="I80" s="13">
        <v>2006</v>
      </c>
      <c r="J80" s="13">
        <f t="shared" si="10"/>
        <v>15</v>
      </c>
      <c r="K80" s="13"/>
      <c r="L80" s="24">
        <v>38958</v>
      </c>
      <c r="M80" s="23">
        <v>1</v>
      </c>
      <c r="N80" s="16"/>
      <c r="O80" s="16"/>
      <c r="P80" s="16"/>
      <c r="Q80" s="16"/>
      <c r="R80" s="16"/>
      <c r="S80" s="16"/>
      <c r="T80" s="16"/>
      <c r="U80" s="16"/>
      <c r="V80" s="49"/>
      <c r="W80" s="49"/>
      <c r="X80" s="49"/>
      <c r="Y80" s="164" t="s">
        <v>220</v>
      </c>
      <c r="Z80" s="13"/>
      <c r="AA80" s="138"/>
      <c r="AB80" s="138" t="s">
        <v>221</v>
      </c>
      <c r="AC80" s="149">
        <v>517777.73</v>
      </c>
      <c r="AD80" s="149">
        <f t="shared" si="11"/>
        <v>4659999.57</v>
      </c>
      <c r="AE80" s="150">
        <v>0.59</v>
      </c>
      <c r="AF80" s="150">
        <v>0.41</v>
      </c>
      <c r="AG80" s="149">
        <f t="shared" si="12"/>
        <v>305488.86069999996</v>
      </c>
      <c r="AH80" s="149">
        <f t="shared" si="13"/>
        <v>212288.86930000002</v>
      </c>
      <c r="AI80" s="139"/>
      <c r="AJ80" s="11"/>
      <c r="AK80" s="12"/>
      <c r="AL80" s="17"/>
    </row>
    <row r="81" spans="1:38" ht="12.75" customHeight="1" x14ac:dyDescent="0.2">
      <c r="A81" s="125" t="s">
        <v>52</v>
      </c>
      <c r="B81" s="4"/>
      <c r="C81" s="5"/>
      <c r="D81" s="29">
        <v>6037</v>
      </c>
      <c r="E81" s="4" t="s">
        <v>90</v>
      </c>
      <c r="F81" s="4" t="s">
        <v>168</v>
      </c>
      <c r="G81" s="4">
        <v>2006</v>
      </c>
      <c r="H81" s="3" t="s">
        <v>230</v>
      </c>
      <c r="I81" s="13">
        <v>2006</v>
      </c>
      <c r="J81" s="13">
        <f t="shared" si="10"/>
        <v>15</v>
      </c>
      <c r="K81" s="13"/>
      <c r="L81" s="24">
        <v>38958</v>
      </c>
      <c r="M81" s="23">
        <v>1</v>
      </c>
      <c r="N81" s="16"/>
      <c r="O81" s="16"/>
      <c r="P81" s="16"/>
      <c r="Q81" s="16"/>
      <c r="R81" s="16"/>
      <c r="S81" s="16"/>
      <c r="T81" s="16"/>
      <c r="U81" s="16"/>
      <c r="V81" s="49"/>
      <c r="W81" s="49"/>
      <c r="X81" s="49"/>
      <c r="Y81" s="164" t="s">
        <v>220</v>
      </c>
      <c r="Z81" s="13"/>
      <c r="AA81" s="138"/>
      <c r="AB81" s="138" t="s">
        <v>221</v>
      </c>
      <c r="AC81" s="149">
        <v>517777.73</v>
      </c>
      <c r="AD81" s="149">
        <f t="shared" si="11"/>
        <v>5177777.3000000007</v>
      </c>
      <c r="AE81" s="150">
        <v>0.59</v>
      </c>
      <c r="AF81" s="150">
        <v>0.41</v>
      </c>
      <c r="AG81" s="149">
        <f t="shared" si="12"/>
        <v>305488.86069999996</v>
      </c>
      <c r="AH81" s="149">
        <f t="shared" si="13"/>
        <v>212288.86930000002</v>
      </c>
      <c r="AI81" s="139"/>
      <c r="AJ81" s="11"/>
      <c r="AK81" s="12"/>
      <c r="AL81" s="17"/>
    </row>
    <row r="82" spans="1:38" ht="12.75" customHeight="1" x14ac:dyDescent="0.2">
      <c r="A82" s="125" t="s">
        <v>54</v>
      </c>
      <c r="B82" s="4"/>
      <c r="C82" s="5"/>
      <c r="D82" s="29">
        <v>6038</v>
      </c>
      <c r="E82" s="4" t="s">
        <v>90</v>
      </c>
      <c r="F82" s="4" t="s">
        <v>168</v>
      </c>
      <c r="G82" s="4">
        <v>2006</v>
      </c>
      <c r="H82" s="3" t="s">
        <v>231</v>
      </c>
      <c r="I82" s="13">
        <v>2006</v>
      </c>
      <c r="J82" s="13">
        <f t="shared" si="10"/>
        <v>15</v>
      </c>
      <c r="K82" s="13"/>
      <c r="L82" s="24">
        <v>38958</v>
      </c>
      <c r="M82" s="23">
        <v>1</v>
      </c>
      <c r="N82" s="16"/>
      <c r="O82" s="16"/>
      <c r="P82" s="16"/>
      <c r="Q82" s="16"/>
      <c r="R82" s="16"/>
      <c r="S82" s="16"/>
      <c r="T82" s="16"/>
      <c r="U82" s="16"/>
      <c r="V82" s="49"/>
      <c r="W82" s="49"/>
      <c r="X82" s="49"/>
      <c r="Y82" s="164" t="s">
        <v>232</v>
      </c>
      <c r="Z82" s="13"/>
      <c r="AA82" s="138"/>
      <c r="AB82" s="138" t="s">
        <v>221</v>
      </c>
      <c r="AC82" s="149">
        <v>82222.7</v>
      </c>
      <c r="AD82" s="149">
        <f t="shared" si="11"/>
        <v>5260000.0000000009</v>
      </c>
      <c r="AE82" s="150">
        <v>0.59</v>
      </c>
      <c r="AF82" s="150">
        <v>0.41</v>
      </c>
      <c r="AG82" s="149">
        <f t="shared" si="12"/>
        <v>48511.392999999996</v>
      </c>
      <c r="AH82" s="149">
        <f t="shared" si="13"/>
        <v>33711.307000000001</v>
      </c>
      <c r="AI82" s="139"/>
      <c r="AJ82" s="11"/>
      <c r="AK82" s="12"/>
      <c r="AL82" s="17"/>
    </row>
    <row r="83" spans="1:38" ht="12.75" customHeight="1" x14ac:dyDescent="0.2">
      <c r="A83" s="125"/>
      <c r="B83" s="4"/>
      <c r="C83" s="5"/>
      <c r="D83" s="29"/>
      <c r="E83" s="4"/>
      <c r="F83" s="4"/>
      <c r="G83" s="4"/>
      <c r="H83" s="3"/>
      <c r="I83" s="13"/>
      <c r="J83" s="13"/>
      <c r="K83" s="13"/>
      <c r="L83" s="24"/>
      <c r="M83" s="23"/>
      <c r="N83" s="16"/>
      <c r="O83" s="16"/>
      <c r="P83" s="16"/>
      <c r="Q83" s="16"/>
      <c r="R83" s="16"/>
      <c r="S83" s="16"/>
      <c r="T83" s="16"/>
      <c r="U83" s="16"/>
      <c r="V83" s="49"/>
      <c r="W83" s="49"/>
      <c r="X83" s="49"/>
      <c r="Y83" s="164" t="s">
        <v>233</v>
      </c>
      <c r="Z83" s="13"/>
      <c r="AA83" s="138"/>
      <c r="AB83" s="138"/>
      <c r="AC83" s="149">
        <v>435555</v>
      </c>
      <c r="AD83" s="149">
        <f t="shared" si="11"/>
        <v>5695555.0000000009</v>
      </c>
      <c r="AE83" s="150">
        <v>0.8</v>
      </c>
      <c r="AF83" s="150">
        <v>0.2</v>
      </c>
      <c r="AG83" s="149">
        <f t="shared" si="12"/>
        <v>348444</v>
      </c>
      <c r="AH83" s="149">
        <f t="shared" si="13"/>
        <v>87111</v>
      </c>
      <c r="AI83" s="139"/>
      <c r="AJ83" s="11"/>
      <c r="AK83" s="12"/>
      <c r="AL83" s="17"/>
    </row>
    <row r="84" spans="1:38" ht="12.75" customHeight="1" x14ac:dyDescent="0.2">
      <c r="A84" s="125" t="s">
        <v>56</v>
      </c>
      <c r="B84" s="4"/>
      <c r="C84" s="5"/>
      <c r="D84" s="30">
        <v>6039</v>
      </c>
      <c r="E84" s="4" t="s">
        <v>90</v>
      </c>
      <c r="F84" s="4" t="s">
        <v>168</v>
      </c>
      <c r="G84" s="4">
        <v>2006</v>
      </c>
      <c r="H84" s="3" t="s">
        <v>234</v>
      </c>
      <c r="I84" s="13">
        <v>2006</v>
      </c>
      <c r="J84" s="13">
        <f t="shared" ref="J84:J102" si="14">2021-I84</f>
        <v>15</v>
      </c>
      <c r="K84" s="13"/>
      <c r="L84" s="24">
        <v>38958</v>
      </c>
      <c r="M84" s="23">
        <v>1</v>
      </c>
      <c r="N84" s="16"/>
      <c r="O84" s="16"/>
      <c r="P84" s="16"/>
      <c r="Q84" s="16"/>
      <c r="R84" s="16"/>
      <c r="S84" s="16"/>
      <c r="T84" s="16"/>
      <c r="U84" s="16"/>
      <c r="V84" s="49"/>
      <c r="W84" s="49"/>
      <c r="X84" s="49"/>
      <c r="Y84" s="164" t="s">
        <v>235</v>
      </c>
      <c r="Z84" s="13"/>
      <c r="AA84" s="138"/>
      <c r="AB84" s="138"/>
      <c r="AC84" s="149">
        <v>517777.73</v>
      </c>
      <c r="AD84" s="149">
        <f t="shared" si="11"/>
        <v>6213332.7300000004</v>
      </c>
      <c r="AE84" s="150">
        <v>0.8</v>
      </c>
      <c r="AF84" s="150">
        <v>0.2</v>
      </c>
      <c r="AG84" s="149">
        <f t="shared" si="12"/>
        <v>414222.18400000001</v>
      </c>
      <c r="AH84" s="149">
        <f t="shared" si="13"/>
        <v>103555.54599999997</v>
      </c>
      <c r="AI84" s="139"/>
      <c r="AJ84" s="11"/>
      <c r="AK84" s="12"/>
      <c r="AL84" s="17"/>
    </row>
    <row r="85" spans="1:38" ht="12.75" customHeight="1" x14ac:dyDescent="0.2">
      <c r="A85" s="125" t="s">
        <v>58</v>
      </c>
      <c r="B85" s="4"/>
      <c r="C85" s="5"/>
      <c r="D85" s="4">
        <v>8000</v>
      </c>
      <c r="E85" s="4" t="s">
        <v>90</v>
      </c>
      <c r="F85" s="4" t="s">
        <v>168</v>
      </c>
      <c r="G85" s="4">
        <v>2008</v>
      </c>
      <c r="H85" s="3" t="s">
        <v>236</v>
      </c>
      <c r="I85" s="13">
        <v>2008</v>
      </c>
      <c r="J85" s="13">
        <f t="shared" si="14"/>
        <v>13</v>
      </c>
      <c r="K85" s="13"/>
      <c r="L85" s="24">
        <v>38958</v>
      </c>
      <c r="M85" s="23">
        <v>1</v>
      </c>
      <c r="N85" s="16"/>
      <c r="O85" s="16"/>
      <c r="P85" s="23">
        <v>1</v>
      </c>
      <c r="Q85" s="16"/>
      <c r="R85" s="16"/>
      <c r="S85" s="16"/>
      <c r="T85" s="16"/>
      <c r="U85" s="16"/>
      <c r="V85" s="49"/>
      <c r="W85" s="49"/>
      <c r="X85" s="49"/>
      <c r="Y85" s="164" t="s">
        <v>209</v>
      </c>
      <c r="Z85" s="144"/>
      <c r="AA85" s="138"/>
      <c r="AB85" s="138"/>
      <c r="AC85" s="149">
        <v>517777.73</v>
      </c>
      <c r="AD85" s="149">
        <f t="shared" si="11"/>
        <v>6731110.4600000009</v>
      </c>
      <c r="AE85" s="150">
        <v>0.8</v>
      </c>
      <c r="AF85" s="150">
        <v>0.2</v>
      </c>
      <c r="AG85" s="149">
        <f>AE85*AC85</f>
        <v>414222.18400000001</v>
      </c>
      <c r="AH85" s="165">
        <f>AC85*AF85</f>
        <v>103555.546</v>
      </c>
      <c r="AI85" s="139"/>
      <c r="AJ85" s="11"/>
      <c r="AK85" s="12"/>
      <c r="AL85" s="17"/>
    </row>
    <row r="86" spans="1:38" ht="12.75" customHeight="1" x14ac:dyDescent="0.2">
      <c r="A86" s="125" t="s">
        <v>60</v>
      </c>
      <c r="B86" s="4"/>
      <c r="C86" s="5"/>
      <c r="D86" s="4">
        <v>8001</v>
      </c>
      <c r="E86" s="4" t="s">
        <v>237</v>
      </c>
      <c r="F86" s="4" t="s">
        <v>238</v>
      </c>
      <c r="G86" s="4">
        <v>2008</v>
      </c>
      <c r="H86" s="3" t="s">
        <v>239</v>
      </c>
      <c r="I86" s="13">
        <v>2009</v>
      </c>
      <c r="J86" s="13">
        <f t="shared" si="14"/>
        <v>12</v>
      </c>
      <c r="K86" s="13"/>
      <c r="L86" s="24">
        <v>38958</v>
      </c>
      <c r="M86" s="23">
        <v>1</v>
      </c>
      <c r="N86" s="16"/>
      <c r="O86" s="16"/>
      <c r="P86" s="23">
        <v>1</v>
      </c>
      <c r="Q86" s="16"/>
      <c r="R86" s="16"/>
      <c r="S86" s="16"/>
      <c r="T86" s="16"/>
      <c r="U86" s="16"/>
      <c r="V86" s="49"/>
      <c r="W86" s="49"/>
      <c r="X86" s="49"/>
      <c r="Y86" s="164" t="s">
        <v>240</v>
      </c>
      <c r="Z86" s="13"/>
      <c r="AA86" s="138"/>
      <c r="AB86" s="138"/>
      <c r="AC86" s="149">
        <v>517777.73</v>
      </c>
      <c r="AD86" s="149">
        <f t="shared" si="11"/>
        <v>7248888.1900000013</v>
      </c>
      <c r="AE86" s="150">
        <v>0.8</v>
      </c>
      <c r="AF86" s="150">
        <v>0.2</v>
      </c>
      <c r="AG86" s="149">
        <f>AE86*AC86</f>
        <v>414222.18400000001</v>
      </c>
      <c r="AH86" s="165">
        <f>AC86*AF86</f>
        <v>103555.546</v>
      </c>
      <c r="AI86" s="139"/>
      <c r="AJ86" s="11"/>
      <c r="AK86" s="12"/>
      <c r="AL86" s="17"/>
    </row>
    <row r="87" spans="1:38" x14ac:dyDescent="0.2">
      <c r="A87" s="125" t="s">
        <v>115</v>
      </c>
      <c r="B87" s="4"/>
      <c r="C87" s="5"/>
      <c r="D87" s="4">
        <v>8002</v>
      </c>
      <c r="E87" s="4" t="s">
        <v>237</v>
      </c>
      <c r="F87" s="4" t="s">
        <v>238</v>
      </c>
      <c r="G87" s="4">
        <v>2008</v>
      </c>
      <c r="H87" s="3" t="s">
        <v>241</v>
      </c>
      <c r="I87" s="13">
        <v>2009</v>
      </c>
      <c r="J87" s="13">
        <f t="shared" si="14"/>
        <v>12</v>
      </c>
      <c r="K87" s="13"/>
      <c r="L87" s="24"/>
      <c r="M87" s="23"/>
      <c r="N87" s="80"/>
      <c r="O87" s="80"/>
      <c r="P87" s="23"/>
      <c r="Q87" s="7"/>
      <c r="R87" s="7"/>
      <c r="S87" s="7"/>
      <c r="T87" s="7"/>
      <c r="U87" s="7"/>
      <c r="V87" s="7"/>
      <c r="W87" s="7"/>
      <c r="X87" s="7"/>
      <c r="Y87" s="144"/>
      <c r="Z87" s="13"/>
      <c r="AA87" s="7"/>
      <c r="AB87" s="138"/>
      <c r="AC87" s="149">
        <v>0</v>
      </c>
      <c r="AD87" s="149"/>
      <c r="AE87" s="150">
        <v>0.8</v>
      </c>
      <c r="AF87" s="150">
        <v>0.2</v>
      </c>
      <c r="AG87" s="149">
        <f>AE87*AC87</f>
        <v>0</v>
      </c>
      <c r="AH87" s="165">
        <f>AC87*AF87</f>
        <v>0</v>
      </c>
      <c r="AI87" s="139"/>
      <c r="AJ87" s="11"/>
      <c r="AK87" s="12"/>
      <c r="AL87" s="17"/>
    </row>
    <row r="88" spans="1:38" ht="12.75" customHeight="1" x14ac:dyDescent="0.2">
      <c r="A88" s="125" t="s">
        <v>117</v>
      </c>
      <c r="B88" s="4"/>
      <c r="C88" s="5"/>
      <c r="D88" s="4">
        <v>8003</v>
      </c>
      <c r="E88" s="4" t="s">
        <v>237</v>
      </c>
      <c r="F88" s="4" t="s">
        <v>238</v>
      </c>
      <c r="G88" s="4">
        <v>2008</v>
      </c>
      <c r="H88" s="3" t="s">
        <v>242</v>
      </c>
      <c r="I88" s="13">
        <v>2009</v>
      </c>
      <c r="J88" s="13">
        <f t="shared" si="14"/>
        <v>12</v>
      </c>
      <c r="K88" s="13"/>
      <c r="L88" s="24">
        <v>39856</v>
      </c>
      <c r="M88" s="23">
        <v>1</v>
      </c>
      <c r="N88" s="16"/>
      <c r="O88" s="16"/>
      <c r="P88" s="16"/>
      <c r="Q88" s="23">
        <v>1</v>
      </c>
      <c r="R88" s="16"/>
      <c r="S88" s="16"/>
      <c r="T88" s="16"/>
      <c r="U88" s="16"/>
      <c r="V88" s="49"/>
      <c r="W88" s="49"/>
      <c r="X88" s="49"/>
      <c r="Y88" s="14"/>
      <c r="Z88" s="13"/>
      <c r="AA88" s="57"/>
      <c r="AB88" s="57"/>
      <c r="AC88" s="149">
        <v>0</v>
      </c>
      <c r="AD88" s="149"/>
      <c r="AE88" s="150"/>
      <c r="AF88" s="150"/>
      <c r="AG88" s="165"/>
      <c r="AH88" s="165">
        <f t="shared" ref="AH88:AH97" si="15">AC88*AF88</f>
        <v>0</v>
      </c>
      <c r="AI88" s="139"/>
      <c r="AJ88" s="11"/>
      <c r="AK88" s="12"/>
      <c r="AL88" s="17"/>
    </row>
    <row r="89" spans="1:38" ht="12.75" customHeight="1" x14ac:dyDescent="0.2">
      <c r="A89" s="125" t="s">
        <v>121</v>
      </c>
      <c r="B89" s="4"/>
      <c r="C89" s="5"/>
      <c r="D89" s="4">
        <v>8004</v>
      </c>
      <c r="E89" s="4" t="s">
        <v>237</v>
      </c>
      <c r="F89" s="4" t="s">
        <v>238</v>
      </c>
      <c r="G89" s="4">
        <v>2008</v>
      </c>
      <c r="H89" s="3" t="s">
        <v>243</v>
      </c>
      <c r="I89" s="13">
        <v>2009</v>
      </c>
      <c r="J89" s="13">
        <f t="shared" si="14"/>
        <v>12</v>
      </c>
      <c r="K89" s="13"/>
      <c r="L89" s="24">
        <v>39856</v>
      </c>
      <c r="M89" s="23">
        <v>1</v>
      </c>
      <c r="N89" s="16"/>
      <c r="O89" s="16"/>
      <c r="P89" s="16"/>
      <c r="Q89" s="23">
        <v>1</v>
      </c>
      <c r="R89" s="16"/>
      <c r="S89" s="16"/>
      <c r="T89" s="16"/>
      <c r="U89" s="16"/>
      <c r="V89" s="49"/>
      <c r="W89" s="49"/>
      <c r="X89" s="49"/>
      <c r="Y89" s="14"/>
      <c r="Z89" s="70"/>
      <c r="AA89" s="57"/>
      <c r="AB89" s="61"/>
      <c r="AC89" s="149">
        <v>0</v>
      </c>
      <c r="AD89" s="149"/>
      <c r="AE89" s="150"/>
      <c r="AF89" s="150"/>
      <c r="AG89" s="165"/>
      <c r="AH89" s="165">
        <f t="shared" si="15"/>
        <v>0</v>
      </c>
      <c r="AI89" s="139"/>
      <c r="AJ89" s="11"/>
      <c r="AK89" s="12"/>
      <c r="AL89" s="17"/>
    </row>
    <row r="90" spans="1:38" ht="12.75" customHeight="1" x14ac:dyDescent="0.2">
      <c r="A90" s="125" t="s">
        <v>125</v>
      </c>
      <c r="B90" s="4"/>
      <c r="C90" s="5"/>
      <c r="D90" s="4">
        <v>8005</v>
      </c>
      <c r="E90" s="4" t="s">
        <v>237</v>
      </c>
      <c r="F90" s="4" t="s">
        <v>238</v>
      </c>
      <c r="G90" s="4">
        <v>2008</v>
      </c>
      <c r="H90" s="3" t="s">
        <v>244</v>
      </c>
      <c r="I90" s="13">
        <v>2009</v>
      </c>
      <c r="J90" s="13">
        <f t="shared" si="14"/>
        <v>12</v>
      </c>
      <c r="K90" s="13"/>
      <c r="L90" s="24">
        <v>39861</v>
      </c>
      <c r="M90" s="23">
        <v>1</v>
      </c>
      <c r="N90" s="16"/>
      <c r="O90" s="16"/>
      <c r="P90" s="16"/>
      <c r="Q90" s="23">
        <v>1</v>
      </c>
      <c r="R90" s="16"/>
      <c r="S90" s="16"/>
      <c r="T90" s="16"/>
      <c r="U90" s="16"/>
      <c r="V90" s="49"/>
      <c r="W90" s="49"/>
      <c r="X90" s="49"/>
      <c r="Y90" s="14"/>
      <c r="Z90" s="70"/>
      <c r="AA90" s="57"/>
      <c r="AB90" s="61"/>
      <c r="AC90" s="149">
        <v>0</v>
      </c>
      <c r="AD90" s="149"/>
      <c r="AE90" s="150"/>
      <c r="AF90" s="150"/>
      <c r="AG90" s="165"/>
      <c r="AH90" s="165">
        <f t="shared" si="15"/>
        <v>0</v>
      </c>
      <c r="AI90" s="139"/>
      <c r="AJ90" s="11"/>
      <c r="AK90" s="12"/>
      <c r="AL90" s="17"/>
    </row>
    <row r="91" spans="1:38" ht="12.75" customHeight="1" x14ac:dyDescent="0.2">
      <c r="A91" s="125" t="s">
        <v>127</v>
      </c>
      <c r="B91" s="4"/>
      <c r="C91" s="5"/>
      <c r="D91" s="4">
        <v>8007</v>
      </c>
      <c r="E91" s="4" t="s">
        <v>237</v>
      </c>
      <c r="F91" s="4" t="s">
        <v>238</v>
      </c>
      <c r="G91" s="4">
        <v>2008</v>
      </c>
      <c r="H91" s="3" t="s">
        <v>245</v>
      </c>
      <c r="I91" s="13">
        <v>2009</v>
      </c>
      <c r="J91" s="13">
        <f t="shared" si="14"/>
        <v>12</v>
      </c>
      <c r="K91" s="13"/>
      <c r="L91" s="24">
        <v>39856</v>
      </c>
      <c r="M91" s="23">
        <v>1</v>
      </c>
      <c r="N91" s="16"/>
      <c r="O91" s="16"/>
      <c r="P91" s="16"/>
      <c r="Q91" s="23">
        <v>1</v>
      </c>
      <c r="R91" s="16"/>
      <c r="S91" s="16"/>
      <c r="T91" s="16"/>
      <c r="U91" s="16"/>
      <c r="V91" s="49"/>
      <c r="W91" s="49"/>
      <c r="X91" s="49"/>
      <c r="Y91" s="14"/>
      <c r="Z91" s="70"/>
      <c r="AA91" s="57"/>
      <c r="AB91" s="61"/>
      <c r="AC91" s="149">
        <v>0</v>
      </c>
      <c r="AD91" s="149"/>
      <c r="AE91" s="150"/>
      <c r="AF91" s="150"/>
      <c r="AG91" s="165"/>
      <c r="AH91" s="165">
        <f t="shared" si="15"/>
        <v>0</v>
      </c>
      <c r="AI91" s="139"/>
      <c r="AJ91" s="11"/>
      <c r="AK91" s="12"/>
      <c r="AL91" s="17"/>
    </row>
    <row r="92" spans="1:38" ht="12.75" customHeight="1" x14ac:dyDescent="0.2">
      <c r="A92" s="125" t="s">
        <v>130</v>
      </c>
      <c r="B92" s="4"/>
      <c r="C92" s="5"/>
      <c r="D92" s="4">
        <v>8008</v>
      </c>
      <c r="E92" s="4" t="s">
        <v>237</v>
      </c>
      <c r="F92" s="4" t="s">
        <v>238</v>
      </c>
      <c r="G92" s="4">
        <v>2008</v>
      </c>
      <c r="H92" s="3" t="s">
        <v>246</v>
      </c>
      <c r="I92" s="13">
        <v>2009</v>
      </c>
      <c r="J92" s="13">
        <f t="shared" si="14"/>
        <v>12</v>
      </c>
      <c r="K92" s="13"/>
      <c r="L92" s="24">
        <v>39861</v>
      </c>
      <c r="M92" s="23">
        <v>1</v>
      </c>
      <c r="N92" s="16"/>
      <c r="O92" s="16"/>
      <c r="P92" s="16"/>
      <c r="Q92" s="23">
        <v>1</v>
      </c>
      <c r="R92" s="16"/>
      <c r="S92" s="16"/>
      <c r="T92" s="16"/>
      <c r="U92" s="16"/>
      <c r="V92" s="49"/>
      <c r="W92" s="49"/>
      <c r="X92" s="49"/>
      <c r="Y92" s="14"/>
      <c r="Z92" s="70"/>
      <c r="AA92" s="57"/>
      <c r="AB92" s="61"/>
      <c r="AC92" s="149">
        <v>0</v>
      </c>
      <c r="AD92" s="149"/>
      <c r="AE92" s="150"/>
      <c r="AF92" s="150"/>
      <c r="AG92" s="165"/>
      <c r="AH92" s="165">
        <f t="shared" si="15"/>
        <v>0</v>
      </c>
      <c r="AI92" s="139"/>
      <c r="AJ92" s="11"/>
      <c r="AK92" s="12"/>
      <c r="AL92" s="17"/>
    </row>
    <row r="93" spans="1:38" ht="12.75" customHeight="1" x14ac:dyDescent="0.2">
      <c r="A93" s="125" t="s">
        <v>135</v>
      </c>
      <c r="B93" s="4"/>
      <c r="C93" s="5"/>
      <c r="D93" s="4">
        <v>8009</v>
      </c>
      <c r="E93" s="4" t="s">
        <v>237</v>
      </c>
      <c r="F93" s="4" t="s">
        <v>238</v>
      </c>
      <c r="G93" s="4">
        <v>2008</v>
      </c>
      <c r="H93" s="3" t="s">
        <v>247</v>
      </c>
      <c r="I93" s="13">
        <v>2009</v>
      </c>
      <c r="J93" s="13">
        <f t="shared" si="14"/>
        <v>12</v>
      </c>
      <c r="K93" s="13"/>
      <c r="L93" s="24">
        <v>39861</v>
      </c>
      <c r="M93" s="23">
        <v>1</v>
      </c>
      <c r="N93" s="16"/>
      <c r="O93" s="16"/>
      <c r="P93" s="16"/>
      <c r="Q93" s="23">
        <v>1</v>
      </c>
      <c r="R93" s="16"/>
      <c r="S93" s="16"/>
      <c r="T93" s="16"/>
      <c r="U93" s="16"/>
      <c r="V93" s="49"/>
      <c r="W93" s="49"/>
      <c r="X93" s="49"/>
      <c r="Y93" s="14"/>
      <c r="Z93" s="70"/>
      <c r="AA93" s="154"/>
      <c r="AB93" s="151"/>
      <c r="AC93" s="149">
        <v>0</v>
      </c>
      <c r="AD93" s="149"/>
      <c r="AE93" s="150"/>
      <c r="AF93" s="150"/>
      <c r="AG93" s="165"/>
      <c r="AH93" s="165">
        <f t="shared" si="15"/>
        <v>0</v>
      </c>
      <c r="AI93" s="139"/>
      <c r="AJ93" s="11"/>
      <c r="AK93" s="12"/>
      <c r="AL93" s="17"/>
    </row>
    <row r="94" spans="1:38" ht="12.75" customHeight="1" x14ac:dyDescent="0.2">
      <c r="A94" s="125" t="s">
        <v>137</v>
      </c>
      <c r="B94" s="4"/>
      <c r="C94" s="5"/>
      <c r="D94" s="4">
        <v>8010</v>
      </c>
      <c r="E94" s="4" t="s">
        <v>237</v>
      </c>
      <c r="F94" s="4" t="s">
        <v>238</v>
      </c>
      <c r="G94" s="4">
        <v>2008</v>
      </c>
      <c r="H94" s="3" t="s">
        <v>248</v>
      </c>
      <c r="I94" s="13">
        <v>2009</v>
      </c>
      <c r="J94" s="13">
        <f t="shared" si="14"/>
        <v>12</v>
      </c>
      <c r="K94" s="13"/>
      <c r="L94" s="24">
        <v>39856</v>
      </c>
      <c r="M94" s="23">
        <v>1</v>
      </c>
      <c r="N94" s="16"/>
      <c r="O94" s="16"/>
      <c r="P94" s="16"/>
      <c r="Q94" s="23">
        <v>1</v>
      </c>
      <c r="R94" s="16"/>
      <c r="S94" s="16"/>
      <c r="T94" s="16"/>
      <c r="U94" s="16"/>
      <c r="V94" s="49"/>
      <c r="W94" s="49"/>
      <c r="X94" s="49"/>
      <c r="Y94" s="14"/>
      <c r="Z94" s="70"/>
      <c r="AA94" s="154"/>
      <c r="AB94" s="151"/>
      <c r="AC94" s="149">
        <v>0</v>
      </c>
      <c r="AD94" s="149"/>
      <c r="AE94" s="150"/>
      <c r="AF94" s="150"/>
      <c r="AG94" s="165"/>
      <c r="AH94" s="165">
        <f t="shared" si="15"/>
        <v>0</v>
      </c>
      <c r="AI94" s="139"/>
      <c r="AJ94" s="11"/>
      <c r="AK94" s="12"/>
      <c r="AL94" s="17"/>
    </row>
    <row r="95" spans="1:38" ht="12.75" customHeight="1" x14ac:dyDescent="0.2">
      <c r="A95" s="125" t="s">
        <v>139</v>
      </c>
      <c r="B95" s="4"/>
      <c r="C95" s="5"/>
      <c r="D95" s="4">
        <v>8011</v>
      </c>
      <c r="E95" s="4" t="s">
        <v>237</v>
      </c>
      <c r="F95" s="4" t="s">
        <v>238</v>
      </c>
      <c r="G95" s="4">
        <v>2008</v>
      </c>
      <c r="H95" s="3" t="s">
        <v>249</v>
      </c>
      <c r="I95" s="13">
        <v>2009</v>
      </c>
      <c r="J95" s="13">
        <f t="shared" si="14"/>
        <v>12</v>
      </c>
      <c r="K95" s="13"/>
      <c r="L95" s="24">
        <v>39862</v>
      </c>
      <c r="M95" s="23">
        <v>1</v>
      </c>
      <c r="N95" s="16"/>
      <c r="O95" s="16"/>
      <c r="P95" s="16"/>
      <c r="Q95" s="23">
        <v>1</v>
      </c>
      <c r="R95" s="16"/>
      <c r="S95" s="16"/>
      <c r="T95" s="16"/>
      <c r="U95" s="16"/>
      <c r="V95" s="49"/>
      <c r="W95" s="49"/>
      <c r="X95" s="49"/>
      <c r="Y95" s="14"/>
      <c r="Z95" s="70"/>
      <c r="AA95" s="154"/>
      <c r="AB95" s="151"/>
      <c r="AC95" s="149">
        <v>0</v>
      </c>
      <c r="AD95" s="149"/>
      <c r="AE95" s="150"/>
      <c r="AF95" s="150"/>
      <c r="AG95" s="165"/>
      <c r="AH95" s="165">
        <f t="shared" si="15"/>
        <v>0</v>
      </c>
      <c r="AI95" s="139"/>
      <c r="AJ95" s="11"/>
      <c r="AK95" s="12"/>
      <c r="AL95" s="17"/>
    </row>
    <row r="96" spans="1:38" ht="12.75" customHeight="1" x14ac:dyDescent="0.2">
      <c r="A96" s="125" t="s">
        <v>141</v>
      </c>
      <c r="B96" s="4"/>
      <c r="C96" s="5"/>
      <c r="D96" s="4">
        <v>8012</v>
      </c>
      <c r="E96" s="4" t="s">
        <v>237</v>
      </c>
      <c r="F96" s="4" t="s">
        <v>238</v>
      </c>
      <c r="G96" s="4">
        <v>2008</v>
      </c>
      <c r="H96" s="3" t="s">
        <v>250</v>
      </c>
      <c r="I96" s="13">
        <v>2009</v>
      </c>
      <c r="J96" s="13">
        <f t="shared" si="14"/>
        <v>12</v>
      </c>
      <c r="K96" s="13"/>
      <c r="L96" s="24">
        <v>39861</v>
      </c>
      <c r="M96" s="23">
        <v>1</v>
      </c>
      <c r="N96" s="16"/>
      <c r="O96" s="16"/>
      <c r="P96" s="16"/>
      <c r="Q96" s="23">
        <v>1</v>
      </c>
      <c r="R96" s="16"/>
      <c r="S96" s="16"/>
      <c r="T96" s="16"/>
      <c r="U96" s="16"/>
      <c r="V96" s="49"/>
      <c r="W96" s="49"/>
      <c r="X96" s="49"/>
      <c r="Y96" s="14"/>
      <c r="Z96" s="70"/>
      <c r="AA96" s="154"/>
      <c r="AB96" s="151"/>
      <c r="AC96" s="149">
        <v>0</v>
      </c>
      <c r="AD96" s="149"/>
      <c r="AE96" s="150"/>
      <c r="AF96" s="150"/>
      <c r="AG96" s="165"/>
      <c r="AH96" s="165">
        <f t="shared" si="15"/>
        <v>0</v>
      </c>
      <c r="AI96" s="139"/>
      <c r="AJ96" s="11"/>
      <c r="AK96" s="12"/>
      <c r="AL96" s="17"/>
    </row>
    <row r="97" spans="1:40" ht="12.75" customHeight="1" x14ac:dyDescent="0.2">
      <c r="A97" s="125" t="s">
        <v>143</v>
      </c>
      <c r="B97" s="4"/>
      <c r="C97" s="5"/>
      <c r="D97" s="4">
        <v>8013</v>
      </c>
      <c r="E97" s="4" t="s">
        <v>237</v>
      </c>
      <c r="F97" s="4" t="s">
        <v>238</v>
      </c>
      <c r="G97" s="4">
        <v>2008</v>
      </c>
      <c r="H97" s="3" t="s">
        <v>251</v>
      </c>
      <c r="I97" s="13">
        <v>2009</v>
      </c>
      <c r="J97" s="13">
        <f t="shared" si="14"/>
        <v>12</v>
      </c>
      <c r="K97" s="13"/>
      <c r="L97" s="24">
        <v>39884</v>
      </c>
      <c r="M97" s="23">
        <v>1</v>
      </c>
      <c r="N97" s="16"/>
      <c r="O97" s="16"/>
      <c r="P97" s="16"/>
      <c r="Q97" s="23">
        <v>1</v>
      </c>
      <c r="R97" s="16"/>
      <c r="S97" s="16"/>
      <c r="T97" s="16"/>
      <c r="U97" s="16"/>
      <c r="V97" s="49"/>
      <c r="W97" s="49"/>
      <c r="X97" s="49"/>
      <c r="Y97" s="164" t="s">
        <v>252</v>
      </c>
      <c r="Z97" s="13"/>
      <c r="AA97" s="154">
        <v>109541</v>
      </c>
      <c r="AB97" s="151"/>
      <c r="AC97" s="149">
        <v>517777.73</v>
      </c>
      <c r="AD97" s="149">
        <f>AD86+AC97</f>
        <v>7766665.9200000018</v>
      </c>
      <c r="AE97" s="150">
        <v>0.6</v>
      </c>
      <c r="AF97" s="150">
        <v>0.4</v>
      </c>
      <c r="AG97" s="149">
        <f t="shared" ref="AG97:AG102" si="16">AC97*AE97</f>
        <v>310666.63799999998</v>
      </c>
      <c r="AH97" s="149">
        <f t="shared" si="15"/>
        <v>207111.092</v>
      </c>
      <c r="AI97" s="139"/>
      <c r="AJ97" s="11"/>
      <c r="AK97" s="12"/>
      <c r="AL97" s="17"/>
    </row>
    <row r="98" spans="1:40" ht="12.75" customHeight="1" x14ac:dyDescent="0.2">
      <c r="A98" s="125" t="s">
        <v>145</v>
      </c>
      <c r="B98" s="4"/>
      <c r="C98" s="5"/>
      <c r="D98" s="4">
        <v>8014</v>
      </c>
      <c r="E98" s="4" t="s">
        <v>237</v>
      </c>
      <c r="F98" s="4" t="s">
        <v>238</v>
      </c>
      <c r="G98" s="4">
        <v>2008</v>
      </c>
      <c r="H98" s="3" t="s">
        <v>253</v>
      </c>
      <c r="I98" s="13">
        <v>2009</v>
      </c>
      <c r="J98" s="13">
        <f t="shared" si="14"/>
        <v>12</v>
      </c>
      <c r="K98" s="13"/>
      <c r="L98" s="24">
        <v>39862</v>
      </c>
      <c r="M98" s="23">
        <v>1</v>
      </c>
      <c r="N98" s="16"/>
      <c r="O98" s="16"/>
      <c r="P98" s="16"/>
      <c r="Q98" s="23">
        <v>1</v>
      </c>
      <c r="R98" s="16"/>
      <c r="S98" s="16"/>
      <c r="T98" s="16"/>
      <c r="U98" s="16"/>
      <c r="V98" s="49"/>
      <c r="W98" s="49"/>
      <c r="X98" s="49"/>
      <c r="Y98" s="164" t="s">
        <v>252</v>
      </c>
      <c r="Z98" s="13"/>
      <c r="AA98" s="154">
        <v>109541</v>
      </c>
      <c r="AB98" s="151"/>
      <c r="AC98" s="149">
        <v>517777.73</v>
      </c>
      <c r="AD98" s="149">
        <f>AD97+AC98</f>
        <v>8284443.6500000022</v>
      </c>
      <c r="AE98" s="150">
        <v>0.6</v>
      </c>
      <c r="AF98" s="150">
        <v>0.4</v>
      </c>
      <c r="AG98" s="165">
        <f t="shared" si="16"/>
        <v>310666.63799999998</v>
      </c>
      <c r="AH98" s="165">
        <f>AC98*AF98</f>
        <v>207111.092</v>
      </c>
      <c r="AI98" s="139"/>
      <c r="AJ98" s="11"/>
      <c r="AK98" s="12"/>
      <c r="AL98" s="17"/>
    </row>
    <row r="99" spans="1:40" ht="12.75" customHeight="1" x14ac:dyDescent="0.2">
      <c r="A99" s="125" t="s">
        <v>147</v>
      </c>
      <c r="B99" s="4"/>
      <c r="C99" s="5"/>
      <c r="D99" s="4">
        <v>8015</v>
      </c>
      <c r="E99" s="4" t="s">
        <v>237</v>
      </c>
      <c r="F99" s="4" t="s">
        <v>238</v>
      </c>
      <c r="G99" s="4">
        <v>2008</v>
      </c>
      <c r="H99" s="3" t="s">
        <v>254</v>
      </c>
      <c r="I99" s="13">
        <v>2009</v>
      </c>
      <c r="J99" s="13">
        <f t="shared" si="14"/>
        <v>12</v>
      </c>
      <c r="K99" s="13"/>
      <c r="L99" s="24">
        <v>39862</v>
      </c>
      <c r="M99" s="23">
        <v>1</v>
      </c>
      <c r="N99" s="16"/>
      <c r="O99" s="16"/>
      <c r="P99" s="16"/>
      <c r="Q99" s="23">
        <v>1</v>
      </c>
      <c r="R99" s="16"/>
      <c r="S99" s="16"/>
      <c r="T99" s="16"/>
      <c r="U99" s="16"/>
      <c r="V99" s="49"/>
      <c r="W99" s="49"/>
      <c r="X99" s="49"/>
      <c r="Y99" s="164" t="s">
        <v>252</v>
      </c>
      <c r="Z99" s="13"/>
      <c r="AA99" s="154">
        <v>109541</v>
      </c>
      <c r="AB99" s="151"/>
      <c r="AC99" s="149">
        <v>517777.73</v>
      </c>
      <c r="AD99" s="149">
        <f>AD98+AC99</f>
        <v>8802221.3800000027</v>
      </c>
      <c r="AE99" s="150">
        <v>0.6</v>
      </c>
      <c r="AF99" s="150">
        <v>0.4</v>
      </c>
      <c r="AG99" s="165">
        <f t="shared" si="16"/>
        <v>310666.63799999998</v>
      </c>
      <c r="AH99" s="165">
        <f>AC99*AF99</f>
        <v>207111.092</v>
      </c>
      <c r="AI99" s="139"/>
      <c r="AJ99" s="11"/>
      <c r="AK99" s="12"/>
      <c r="AL99" s="17"/>
    </row>
    <row r="100" spans="1:40" ht="12.75" customHeight="1" x14ac:dyDescent="0.2">
      <c r="A100" s="125" t="s">
        <v>149</v>
      </c>
      <c r="B100" s="4"/>
      <c r="C100" s="5"/>
      <c r="D100" s="4">
        <v>8016</v>
      </c>
      <c r="E100" s="4" t="s">
        <v>237</v>
      </c>
      <c r="F100" s="4" t="s">
        <v>238</v>
      </c>
      <c r="G100" s="4">
        <v>2008</v>
      </c>
      <c r="H100" s="3" t="s">
        <v>255</v>
      </c>
      <c r="I100" s="13">
        <v>2009</v>
      </c>
      <c r="J100" s="13">
        <f t="shared" si="14"/>
        <v>12</v>
      </c>
      <c r="K100" s="13"/>
      <c r="L100" s="24">
        <v>39862</v>
      </c>
      <c r="M100" s="23">
        <v>1</v>
      </c>
      <c r="N100" s="16"/>
      <c r="O100" s="16"/>
      <c r="P100" s="16"/>
      <c r="Q100" s="23"/>
      <c r="R100" s="16"/>
      <c r="S100" s="16"/>
      <c r="T100" s="16"/>
      <c r="U100" s="16"/>
      <c r="V100" s="49"/>
      <c r="W100" s="49"/>
      <c r="X100" s="49"/>
      <c r="Y100" s="164" t="s">
        <v>252</v>
      </c>
      <c r="Z100" s="154"/>
      <c r="AA100" s="154">
        <v>109541</v>
      </c>
      <c r="AB100" s="151"/>
      <c r="AC100" s="149">
        <v>517777.73</v>
      </c>
      <c r="AD100" s="149">
        <f>AD99+AC100</f>
        <v>9319999.1100000031</v>
      </c>
      <c r="AE100" s="150">
        <v>0.6</v>
      </c>
      <c r="AF100" s="150">
        <v>0.4</v>
      </c>
      <c r="AG100" s="165">
        <f t="shared" si="16"/>
        <v>310666.63799999998</v>
      </c>
      <c r="AH100" s="165">
        <f>AC100*AF100</f>
        <v>207111.092</v>
      </c>
      <c r="AI100" s="139"/>
      <c r="AJ100" s="11"/>
      <c r="AK100" s="12"/>
      <c r="AL100" s="17"/>
    </row>
    <row r="101" spans="1:40" ht="12.75" customHeight="1" x14ac:dyDescent="0.2">
      <c r="A101" s="125" t="s">
        <v>151</v>
      </c>
      <c r="B101" s="4"/>
      <c r="C101" s="5"/>
      <c r="D101" s="4">
        <v>8017</v>
      </c>
      <c r="E101" s="4" t="s">
        <v>237</v>
      </c>
      <c r="F101" s="4" t="s">
        <v>238</v>
      </c>
      <c r="G101" s="4">
        <v>2008</v>
      </c>
      <c r="H101" s="3" t="s">
        <v>256</v>
      </c>
      <c r="I101" s="13">
        <v>2009</v>
      </c>
      <c r="J101" s="13">
        <f t="shared" si="14"/>
        <v>12</v>
      </c>
      <c r="K101" s="13"/>
      <c r="L101" s="24">
        <v>39856</v>
      </c>
      <c r="M101" s="23">
        <v>1</v>
      </c>
      <c r="N101" s="16"/>
      <c r="O101" s="16"/>
      <c r="P101" s="16"/>
      <c r="Q101" s="23"/>
      <c r="R101" s="16"/>
      <c r="S101" s="16"/>
      <c r="T101" s="16"/>
      <c r="U101" s="16"/>
      <c r="V101" s="49"/>
      <c r="W101" s="49"/>
      <c r="X101" s="49"/>
      <c r="Y101" s="164" t="s">
        <v>252</v>
      </c>
      <c r="Z101" s="154"/>
      <c r="AA101" s="154">
        <v>109541</v>
      </c>
      <c r="AB101" s="151"/>
      <c r="AC101" s="149">
        <v>517777.73</v>
      </c>
      <c r="AD101" s="149">
        <f>AD100+AC101</f>
        <v>9837776.8400000036</v>
      </c>
      <c r="AE101" s="150">
        <v>0.6</v>
      </c>
      <c r="AF101" s="150">
        <v>0.4</v>
      </c>
      <c r="AG101" s="165">
        <f t="shared" si="16"/>
        <v>310666.63799999998</v>
      </c>
      <c r="AH101" s="165">
        <f>AC101*AF101</f>
        <v>207111.092</v>
      </c>
      <c r="AI101" s="139"/>
      <c r="AJ101" s="11"/>
      <c r="AK101" s="12"/>
      <c r="AL101" s="17"/>
    </row>
    <row r="102" spans="1:40" ht="12.75" customHeight="1" x14ac:dyDescent="0.2">
      <c r="A102" s="125" t="s">
        <v>153</v>
      </c>
      <c r="B102" s="4"/>
      <c r="C102" s="5"/>
      <c r="D102" s="4">
        <v>8020</v>
      </c>
      <c r="E102" s="4" t="s">
        <v>237</v>
      </c>
      <c r="F102" s="4" t="s">
        <v>238</v>
      </c>
      <c r="G102" s="4">
        <v>2008</v>
      </c>
      <c r="H102" s="3" t="s">
        <v>257</v>
      </c>
      <c r="I102" s="13">
        <v>2009</v>
      </c>
      <c r="J102" s="13">
        <f t="shared" si="14"/>
        <v>12</v>
      </c>
      <c r="K102" s="13"/>
      <c r="L102" s="24">
        <v>39862</v>
      </c>
      <c r="M102" s="23">
        <v>1</v>
      </c>
      <c r="N102" s="16"/>
      <c r="O102" s="16"/>
      <c r="P102" s="16"/>
      <c r="Q102" s="23"/>
      <c r="R102" s="16"/>
      <c r="S102" s="16"/>
      <c r="T102" s="16"/>
      <c r="U102" s="16"/>
      <c r="V102" s="49"/>
      <c r="W102" s="49"/>
      <c r="X102" s="49"/>
      <c r="Y102" s="144"/>
      <c r="Z102" s="154"/>
      <c r="AA102" s="154">
        <v>109541</v>
      </c>
      <c r="AB102" s="151"/>
      <c r="AC102" s="149">
        <v>79951.350000000006</v>
      </c>
      <c r="AD102" s="149">
        <f>AD101+AC102</f>
        <v>9917728.1900000032</v>
      </c>
      <c r="AE102" s="150">
        <v>0.6</v>
      </c>
      <c r="AF102" s="150">
        <v>0.4</v>
      </c>
      <c r="AG102" s="165">
        <f t="shared" si="16"/>
        <v>47970.810000000005</v>
      </c>
      <c r="AH102" s="165">
        <f>AC102*AF102</f>
        <v>31980.540000000005</v>
      </c>
      <c r="AI102" s="139"/>
      <c r="AJ102" s="11"/>
      <c r="AK102" s="12"/>
      <c r="AL102" s="17"/>
    </row>
    <row r="103" spans="1:40" ht="12.75" customHeight="1" x14ac:dyDescent="0.35">
      <c r="A103" s="87" t="s">
        <v>258</v>
      </c>
    </row>
    <row r="104" spans="1:40" ht="12.75" customHeight="1" thickBot="1" x14ac:dyDescent="0.25">
      <c r="A104" s="93">
        <v>43692</v>
      </c>
    </row>
    <row r="105" spans="1:40" ht="12.75" customHeight="1" x14ac:dyDescent="0.2">
      <c r="A105" s="123"/>
      <c r="B105" s="88" t="s">
        <v>1</v>
      </c>
      <c r="C105" s="89" t="s">
        <v>2</v>
      </c>
      <c r="D105" s="123" t="s">
        <v>3</v>
      </c>
      <c r="E105" s="123" t="s">
        <v>4</v>
      </c>
      <c r="F105" s="123" t="s">
        <v>5</v>
      </c>
      <c r="G105" s="123" t="s">
        <v>6</v>
      </c>
      <c r="H105" s="123" t="s">
        <v>7</v>
      </c>
      <c r="I105" s="90" t="s">
        <v>8</v>
      </c>
      <c r="J105" s="90" t="s">
        <v>9</v>
      </c>
      <c r="K105" s="90" t="s">
        <v>10</v>
      </c>
      <c r="L105" s="124" t="s">
        <v>11</v>
      </c>
      <c r="M105" s="91" t="s">
        <v>12</v>
      </c>
      <c r="N105" s="91">
        <v>2018</v>
      </c>
      <c r="O105" s="91">
        <v>-159.42519389542099</v>
      </c>
      <c r="P105" s="91">
        <v>2020</v>
      </c>
      <c r="Q105" s="91">
        <v>2021</v>
      </c>
      <c r="R105" s="91">
        <v>2022</v>
      </c>
      <c r="S105" s="91">
        <v>2023</v>
      </c>
      <c r="T105" s="91">
        <v>2024</v>
      </c>
      <c r="U105" s="91">
        <v>2025</v>
      </c>
      <c r="V105" s="91" t="s">
        <v>13</v>
      </c>
      <c r="W105" s="91" t="s">
        <v>14</v>
      </c>
      <c r="X105" s="91" t="s">
        <v>15</v>
      </c>
      <c r="Y105" s="91" t="s">
        <v>16</v>
      </c>
      <c r="Z105" s="91" t="s">
        <v>86</v>
      </c>
      <c r="AA105" s="91" t="s">
        <v>19</v>
      </c>
      <c r="AB105" s="91" t="s">
        <v>20</v>
      </c>
      <c r="AC105" s="91" t="s">
        <v>87</v>
      </c>
      <c r="AD105" s="91" t="s">
        <v>21</v>
      </c>
      <c r="AE105" s="91" t="s">
        <v>22</v>
      </c>
      <c r="AF105" s="91" t="s">
        <v>23</v>
      </c>
      <c r="AG105" s="91" t="s">
        <v>24</v>
      </c>
      <c r="AH105" s="91" t="s">
        <v>25</v>
      </c>
      <c r="AI105" s="41" t="s">
        <v>26</v>
      </c>
      <c r="AJ105" s="170" t="s">
        <v>27</v>
      </c>
      <c r="AK105" s="171"/>
      <c r="AL105" s="172"/>
    </row>
    <row r="106" spans="1:40" ht="12.75" customHeight="1" x14ac:dyDescent="0.2">
      <c r="O106">
        <v>-173.435576682511</v>
      </c>
    </row>
    <row r="107" spans="1:40" ht="12.75" customHeight="1" x14ac:dyDescent="0.2">
      <c r="A107" s="83" t="s">
        <v>28</v>
      </c>
      <c r="B107" s="4"/>
      <c r="C107" s="5"/>
      <c r="D107" s="28" t="s">
        <v>259</v>
      </c>
      <c r="E107" s="4"/>
      <c r="F107" s="4"/>
      <c r="G107" s="4"/>
      <c r="H107" s="3"/>
      <c r="I107" s="13"/>
      <c r="J107" s="13"/>
      <c r="K107" s="13"/>
      <c r="L107" s="8"/>
      <c r="M107" s="16"/>
      <c r="N107" s="16"/>
      <c r="O107" s="16">
        <v>-187.445959469602</v>
      </c>
      <c r="P107" s="16"/>
      <c r="Q107" s="16"/>
      <c r="R107" s="16"/>
      <c r="S107" s="16"/>
      <c r="T107" s="16"/>
      <c r="U107" s="16"/>
      <c r="V107" s="49" t="s">
        <v>89</v>
      </c>
      <c r="W107" s="49"/>
      <c r="X107" s="49"/>
      <c r="Y107" s="16"/>
      <c r="Z107" s="16"/>
      <c r="AA107" s="16"/>
      <c r="AB107" s="16"/>
      <c r="AC107" s="46"/>
      <c r="AD107" s="46"/>
      <c r="AE107" s="47"/>
      <c r="AF107" s="47"/>
      <c r="AG107" s="47"/>
      <c r="AH107" s="47"/>
      <c r="AI107" s="46"/>
      <c r="AJ107" s="11"/>
      <c r="AK107" s="12"/>
      <c r="AL107" s="17"/>
    </row>
    <row r="108" spans="1:40" ht="12.75" customHeight="1" x14ac:dyDescent="0.2">
      <c r="A108" s="153"/>
      <c r="B108" s="4"/>
      <c r="C108" s="5"/>
      <c r="D108" s="29"/>
      <c r="E108" s="4"/>
      <c r="F108" s="4"/>
      <c r="G108" s="4"/>
      <c r="H108" s="3"/>
      <c r="I108" s="13"/>
      <c r="J108" s="13"/>
      <c r="K108" s="13"/>
      <c r="L108" s="24"/>
      <c r="M108" s="16"/>
      <c r="N108" s="16"/>
      <c r="O108" s="16">
        <v>-201.45634225669201</v>
      </c>
      <c r="P108" s="16"/>
      <c r="Q108" s="16"/>
      <c r="R108" s="16"/>
      <c r="S108" s="16"/>
      <c r="T108" s="16"/>
      <c r="U108" s="16"/>
      <c r="V108" s="49" t="s">
        <v>89</v>
      </c>
      <c r="W108" s="49"/>
      <c r="X108" s="49"/>
      <c r="Y108" s="16"/>
      <c r="Z108" s="16"/>
      <c r="AA108" s="16"/>
      <c r="AB108" s="16"/>
      <c r="AC108" s="46"/>
      <c r="AD108" s="46"/>
      <c r="AE108" s="47"/>
      <c r="AF108" s="47"/>
      <c r="AG108" s="47"/>
      <c r="AH108" s="47"/>
      <c r="AI108" s="46"/>
      <c r="AJ108" s="11"/>
      <c r="AK108" s="12"/>
      <c r="AL108" s="17"/>
    </row>
    <row r="109" spans="1:40" ht="12.75" customHeight="1" x14ac:dyDescent="0.2">
      <c r="A109" s="153" t="s">
        <v>260</v>
      </c>
      <c r="B109" s="4"/>
      <c r="C109" s="5"/>
      <c r="D109" s="29">
        <v>5867.6230769230797</v>
      </c>
      <c r="E109" s="4" t="s">
        <v>90</v>
      </c>
      <c r="F109" s="4" t="s">
        <v>91</v>
      </c>
      <c r="G109" s="4">
        <v>2008.3942437516901</v>
      </c>
      <c r="H109" s="3" t="s">
        <v>92</v>
      </c>
      <c r="I109" s="13">
        <v>2009.0552211480599</v>
      </c>
      <c r="J109" s="13">
        <f>2019-I109</f>
        <v>9.9447788519401001</v>
      </c>
      <c r="K109" s="13"/>
      <c r="L109" s="8">
        <v>37336</v>
      </c>
      <c r="M109" s="23">
        <v>1</v>
      </c>
      <c r="N109" s="16"/>
      <c r="O109" s="154">
        <v>-215.46672504378199</v>
      </c>
      <c r="P109" s="142" t="s">
        <v>93</v>
      </c>
      <c r="Q109" s="142" t="s">
        <v>93</v>
      </c>
      <c r="R109" s="142" t="s">
        <v>93</v>
      </c>
      <c r="S109" s="142" t="s">
        <v>93</v>
      </c>
      <c r="T109" s="142" t="s">
        <v>93</v>
      </c>
      <c r="U109" s="142" t="s">
        <v>93</v>
      </c>
      <c r="V109" s="142" t="s">
        <v>93</v>
      </c>
      <c r="W109" s="142" t="s">
        <v>93</v>
      </c>
      <c r="X109" s="142" t="s">
        <v>93</v>
      </c>
      <c r="Y109" s="144" t="s">
        <v>94</v>
      </c>
      <c r="Z109" s="138" t="s">
        <v>95</v>
      </c>
      <c r="AA109" s="138"/>
      <c r="AB109" s="138"/>
      <c r="AC109" s="149">
        <v>397127.92526923103</v>
      </c>
      <c r="AD109" s="149">
        <f>AC109</f>
        <v>397127.92526923103</v>
      </c>
      <c r="AE109" s="155">
        <v>0.66070662861486296</v>
      </c>
      <c r="AF109" s="155">
        <v>0.33929337138513699</v>
      </c>
      <c r="AG109" s="149">
        <f>AE109*AC109</f>
        <v>262385.05263344885</v>
      </c>
      <c r="AH109" s="149">
        <f>AC109*AF109</f>
        <v>134742.87263578214</v>
      </c>
      <c r="AI109" s="156" t="s">
        <v>96</v>
      </c>
      <c r="AJ109" s="11"/>
      <c r="AK109" s="12"/>
      <c r="AL109" s="17"/>
    </row>
    <row r="110" spans="1:40" s="59" customFormat="1" ht="12.75" customHeight="1" x14ac:dyDescent="0.2">
      <c r="A110" s="153" t="s">
        <v>261</v>
      </c>
      <c r="B110" s="4"/>
      <c r="C110" s="5"/>
      <c r="D110" s="29">
        <v>5964.16566604127</v>
      </c>
      <c r="E110" s="4" t="s">
        <v>90</v>
      </c>
      <c r="F110" s="4" t="s">
        <v>91</v>
      </c>
      <c r="G110" s="4">
        <v>2008.45497498297</v>
      </c>
      <c r="H110" s="3" t="s">
        <v>97</v>
      </c>
      <c r="I110" s="13">
        <v>2009.12560773213</v>
      </c>
      <c r="J110" s="13">
        <f t="shared" ref="J110:J148" si="17">2019-I110</f>
        <v>9.8743922678700073</v>
      </c>
      <c r="K110" s="13"/>
      <c r="L110" s="8">
        <v>37336</v>
      </c>
      <c r="M110" s="23">
        <v>1</v>
      </c>
      <c r="N110" s="16"/>
      <c r="O110" s="144">
        <v>-229.477107830873</v>
      </c>
      <c r="P110" s="144" t="s">
        <v>93</v>
      </c>
      <c r="Q110" s="144" t="s">
        <v>93</v>
      </c>
      <c r="R110" s="144" t="s">
        <v>93</v>
      </c>
      <c r="S110" s="144" t="s">
        <v>93</v>
      </c>
      <c r="T110" s="144" t="s">
        <v>93</v>
      </c>
      <c r="U110" s="144" t="s">
        <v>93</v>
      </c>
      <c r="V110" s="144" t="s">
        <v>93</v>
      </c>
      <c r="W110" s="144" t="s">
        <v>93</v>
      </c>
      <c r="X110" s="144" t="s">
        <v>93</v>
      </c>
      <c r="Y110" s="144" t="s">
        <v>94</v>
      </c>
      <c r="Z110" s="138" t="s">
        <v>95</v>
      </c>
      <c r="AA110" s="138"/>
      <c r="AB110" s="138"/>
      <c r="AC110" s="149">
        <v>393317.69842870499</v>
      </c>
      <c r="AD110" s="149">
        <f>AC110+AD109</f>
        <v>790445.62369793607</v>
      </c>
      <c r="AE110" s="155">
        <v>0.65914943061763898</v>
      </c>
      <c r="AF110" s="155">
        <v>0.34085056938236102</v>
      </c>
      <c r="AG110" s="149">
        <f>AE110*AC110</f>
        <v>259255.13697112113</v>
      </c>
      <c r="AH110" s="149">
        <f>AC110*AF110</f>
        <v>134062.56145758386</v>
      </c>
      <c r="AI110" s="156" t="s">
        <v>96</v>
      </c>
      <c r="AJ110" s="11"/>
      <c r="AK110" s="12"/>
      <c r="AL110" s="17"/>
      <c r="AM110"/>
      <c r="AN110"/>
    </row>
    <row r="111" spans="1:40" x14ac:dyDescent="0.2">
      <c r="A111" s="153" t="s">
        <v>262</v>
      </c>
      <c r="B111" s="4"/>
      <c r="C111" s="5"/>
      <c r="D111" s="29">
        <v>6060.7082551594704</v>
      </c>
      <c r="E111" s="4" t="s">
        <v>90</v>
      </c>
      <c r="F111" s="4" t="s">
        <v>91</v>
      </c>
      <c r="G111" s="4">
        <v>2008.51570621425</v>
      </c>
      <c r="H111" s="3" t="s">
        <v>98</v>
      </c>
      <c r="I111" s="13">
        <v>2009.1959943162001</v>
      </c>
      <c r="J111" s="13">
        <f t="shared" si="17"/>
        <v>9.8040056837999146</v>
      </c>
      <c r="K111" s="13"/>
      <c r="L111" s="8">
        <v>37349</v>
      </c>
      <c r="M111" s="23">
        <v>1</v>
      </c>
      <c r="N111" s="16"/>
      <c r="O111" s="144">
        <v>-243.487490617963</v>
      </c>
      <c r="P111" s="144" t="s">
        <v>93</v>
      </c>
      <c r="Q111" s="144" t="s">
        <v>93</v>
      </c>
      <c r="R111" s="144" t="s">
        <v>93</v>
      </c>
      <c r="S111" s="144" t="s">
        <v>93</v>
      </c>
      <c r="T111" s="144" t="s">
        <v>93</v>
      </c>
      <c r="U111" s="144" t="s">
        <v>93</v>
      </c>
      <c r="V111" s="144" t="s">
        <v>93</v>
      </c>
      <c r="W111" s="144" t="s">
        <v>93</v>
      </c>
      <c r="X111" s="144" t="s">
        <v>93</v>
      </c>
      <c r="Y111" s="144" t="s">
        <v>94</v>
      </c>
      <c r="Z111" s="138" t="s">
        <v>95</v>
      </c>
      <c r="AA111" s="138"/>
      <c r="AB111" s="138"/>
      <c r="AC111" s="149">
        <v>389507.47158817999</v>
      </c>
      <c r="AD111" s="149">
        <f t="shared" ref="AD111:AD148" si="18">AC111+AD110</f>
        <v>1179953.095286116</v>
      </c>
      <c r="AE111" s="155">
        <v>0.657592232620414</v>
      </c>
      <c r="AF111" s="155">
        <v>0.342407767379586</v>
      </c>
      <c r="AG111" s="149">
        <f t="shared" ref="AG111:AG116" si="19">0.8*AC111</f>
        <v>311605.97727054398</v>
      </c>
      <c r="AH111" s="149">
        <f t="shared" ref="AH111:AH116" si="20">AC111*0.2</f>
        <v>77901.494317635996</v>
      </c>
      <c r="AI111" s="139"/>
      <c r="AJ111" s="11"/>
      <c r="AK111" s="12"/>
      <c r="AL111" s="17"/>
    </row>
    <row r="112" spans="1:40" x14ac:dyDescent="0.2">
      <c r="A112" s="153" t="s">
        <v>263</v>
      </c>
      <c r="B112" s="4"/>
      <c r="C112" s="5"/>
      <c r="D112" s="29">
        <v>6157.2508442776698</v>
      </c>
      <c r="E112" s="4" t="s">
        <v>90</v>
      </c>
      <c r="F112" s="4" t="s">
        <v>91</v>
      </c>
      <c r="G112" s="4">
        <v>2008.57643744553</v>
      </c>
      <c r="H112" s="3" t="s">
        <v>264</v>
      </c>
      <c r="I112" s="13">
        <v>2009.26638090027</v>
      </c>
      <c r="J112" s="13">
        <f t="shared" si="17"/>
        <v>9.7336190997300491</v>
      </c>
      <c r="K112" s="13"/>
      <c r="L112" s="24">
        <v>37348</v>
      </c>
      <c r="M112" s="23">
        <v>1</v>
      </c>
      <c r="N112" s="16"/>
      <c r="O112" s="144">
        <v>-257.49787340505299</v>
      </c>
      <c r="P112" s="144" t="s">
        <v>93</v>
      </c>
      <c r="Q112" s="144" t="s">
        <v>93</v>
      </c>
      <c r="R112" s="144" t="s">
        <v>93</v>
      </c>
      <c r="S112" s="144" t="s">
        <v>93</v>
      </c>
      <c r="T112" s="144" t="s">
        <v>93</v>
      </c>
      <c r="U112" s="144" t="s">
        <v>93</v>
      </c>
      <c r="V112" s="144" t="s">
        <v>93</v>
      </c>
      <c r="W112" s="144" t="s">
        <v>93</v>
      </c>
      <c r="X112" s="144" t="s">
        <v>93</v>
      </c>
      <c r="Y112" s="144" t="s">
        <v>94</v>
      </c>
      <c r="Z112" s="138" t="s">
        <v>95</v>
      </c>
      <c r="AA112" s="138"/>
      <c r="AB112" s="138"/>
      <c r="AC112" s="149">
        <v>385697.244747655</v>
      </c>
      <c r="AD112" s="149">
        <f t="shared" si="18"/>
        <v>1565650.340033771</v>
      </c>
      <c r="AE112" s="155">
        <v>0.65603503462318902</v>
      </c>
      <c r="AF112" s="155">
        <v>0.34396496537680998</v>
      </c>
      <c r="AG112" s="149">
        <f t="shared" si="19"/>
        <v>308557.79579812399</v>
      </c>
      <c r="AH112" s="149">
        <f t="shared" si="20"/>
        <v>77139.448949530997</v>
      </c>
      <c r="AI112" s="139"/>
      <c r="AJ112" s="11"/>
      <c r="AK112" s="12"/>
      <c r="AL112" s="17"/>
    </row>
    <row r="113" spans="1:38" x14ac:dyDescent="0.2">
      <c r="A113" s="153" t="s">
        <v>265</v>
      </c>
      <c r="B113" s="4"/>
      <c r="C113" s="5"/>
      <c r="D113" s="29">
        <v>6253.7934333958701</v>
      </c>
      <c r="E113" s="4" t="s">
        <v>90</v>
      </c>
      <c r="F113" s="4" t="s">
        <v>91</v>
      </c>
      <c r="G113" s="4">
        <v>2008.63716867681</v>
      </c>
      <c r="H113" s="3" t="s">
        <v>100</v>
      </c>
      <c r="I113" s="13">
        <v>2009.33676748433</v>
      </c>
      <c r="J113" s="13">
        <f t="shared" si="17"/>
        <v>9.6632325156699608</v>
      </c>
      <c r="K113" s="13"/>
      <c r="L113" s="8">
        <v>37350</v>
      </c>
      <c r="M113" s="23">
        <v>1</v>
      </c>
      <c r="N113" s="16"/>
      <c r="O113" s="144">
        <v>-271.50825619214402</v>
      </c>
      <c r="P113" s="144" t="s">
        <v>93</v>
      </c>
      <c r="Q113" s="144" t="s">
        <v>93</v>
      </c>
      <c r="R113" s="144" t="s">
        <v>93</v>
      </c>
      <c r="S113" s="144" t="s">
        <v>93</v>
      </c>
      <c r="T113" s="144" t="s">
        <v>93</v>
      </c>
      <c r="U113" s="144" t="s">
        <v>93</v>
      </c>
      <c r="V113" s="144" t="s">
        <v>93</v>
      </c>
      <c r="W113" s="144" t="s">
        <v>93</v>
      </c>
      <c r="X113" s="144" t="s">
        <v>93</v>
      </c>
      <c r="Y113" s="144" t="s">
        <v>94</v>
      </c>
      <c r="Z113" s="138" t="s">
        <v>95</v>
      </c>
      <c r="AA113" s="138"/>
      <c r="AB113" s="138"/>
      <c r="AC113" s="149">
        <v>381887.01790712902</v>
      </c>
      <c r="AD113" s="149">
        <f t="shared" si="18"/>
        <v>1947537.3579409001</v>
      </c>
      <c r="AE113" s="155">
        <v>0.65447783662596504</v>
      </c>
      <c r="AF113" s="155">
        <v>0.34552216337403502</v>
      </c>
      <c r="AG113" s="149">
        <f t="shared" si="19"/>
        <v>305509.61432570324</v>
      </c>
      <c r="AH113" s="149">
        <f t="shared" si="20"/>
        <v>76377.40358142581</v>
      </c>
      <c r="AI113" s="139"/>
      <c r="AJ113" s="11"/>
      <c r="AK113" s="12"/>
      <c r="AL113" s="17"/>
    </row>
    <row r="114" spans="1:38" x14ac:dyDescent="0.2">
      <c r="A114" s="153" t="s">
        <v>266</v>
      </c>
      <c r="B114" s="4"/>
      <c r="C114" s="5"/>
      <c r="D114" s="29">
        <v>6350.3360225140696</v>
      </c>
      <c r="E114" s="4" t="s">
        <v>90</v>
      </c>
      <c r="F114" s="4" t="s">
        <v>91</v>
      </c>
      <c r="G114" s="4">
        <v>2008.69789990809</v>
      </c>
      <c r="H114" s="3" t="s">
        <v>267</v>
      </c>
      <c r="I114" s="13">
        <v>2009.4071540683999</v>
      </c>
      <c r="J114" s="13">
        <f t="shared" si="17"/>
        <v>9.5928459316000954</v>
      </c>
      <c r="K114" s="13"/>
      <c r="L114" s="8">
        <v>37362</v>
      </c>
      <c r="M114" s="23">
        <v>1</v>
      </c>
      <c r="N114" s="16"/>
      <c r="O114" s="144">
        <v>-285.51863897923403</v>
      </c>
      <c r="P114" s="144" t="s">
        <v>93</v>
      </c>
      <c r="Q114" s="144" t="s">
        <v>93</v>
      </c>
      <c r="R114" s="144" t="s">
        <v>93</v>
      </c>
      <c r="S114" s="144" t="s">
        <v>93</v>
      </c>
      <c r="T114" s="144" t="s">
        <v>93</v>
      </c>
      <c r="U114" s="144" t="s">
        <v>93</v>
      </c>
      <c r="V114" s="144" t="s">
        <v>93</v>
      </c>
      <c r="W114" s="144" t="s">
        <v>93</v>
      </c>
      <c r="X114" s="144" t="s">
        <v>93</v>
      </c>
      <c r="Y114" s="144" t="s">
        <v>94</v>
      </c>
      <c r="Z114" s="138" t="s">
        <v>95</v>
      </c>
      <c r="AA114" s="138"/>
      <c r="AB114" s="138"/>
      <c r="AC114" s="149">
        <v>378076.79106660403</v>
      </c>
      <c r="AD114" s="149">
        <f t="shared" si="18"/>
        <v>2325614.1490075043</v>
      </c>
      <c r="AE114" s="155">
        <v>0.65292063862873995</v>
      </c>
      <c r="AF114" s="155">
        <v>0.34707936137126</v>
      </c>
      <c r="AG114" s="149">
        <f t="shared" si="19"/>
        <v>302461.43285328324</v>
      </c>
      <c r="AH114" s="149">
        <f t="shared" si="20"/>
        <v>75615.358213320811</v>
      </c>
      <c r="AI114" s="139"/>
      <c r="AJ114" s="11"/>
      <c r="AK114" s="12"/>
      <c r="AL114" s="17"/>
    </row>
    <row r="115" spans="1:38" x14ac:dyDescent="0.2">
      <c r="A115" s="153" t="s">
        <v>268</v>
      </c>
      <c r="B115" s="4"/>
      <c r="C115" s="5"/>
      <c r="D115" s="29">
        <v>6446.8786116322699</v>
      </c>
      <c r="E115" s="4" t="s">
        <v>90</v>
      </c>
      <c r="F115" s="4" t="s">
        <v>91</v>
      </c>
      <c r="G115" s="4">
        <v>2008.75863113937</v>
      </c>
      <c r="H115" s="3" t="s">
        <v>102</v>
      </c>
      <c r="I115" s="13">
        <v>2009.47754065247</v>
      </c>
      <c r="J115" s="13">
        <f t="shared" si="17"/>
        <v>9.5224593475300026</v>
      </c>
      <c r="K115" s="13"/>
      <c r="L115" s="8">
        <v>37351</v>
      </c>
      <c r="M115" s="23">
        <v>1</v>
      </c>
      <c r="N115" s="16"/>
      <c r="O115" s="144">
        <v>-299.52902176632398</v>
      </c>
      <c r="P115" s="144" t="s">
        <v>93</v>
      </c>
      <c r="Q115" s="144" t="s">
        <v>93</v>
      </c>
      <c r="R115" s="144" t="s">
        <v>93</v>
      </c>
      <c r="S115" s="144" t="s">
        <v>93</v>
      </c>
      <c r="T115" s="144" t="s">
        <v>93</v>
      </c>
      <c r="U115" s="144" t="s">
        <v>93</v>
      </c>
      <c r="V115" s="144" t="s">
        <v>93</v>
      </c>
      <c r="W115" s="144" t="s">
        <v>93</v>
      </c>
      <c r="X115" s="144" t="s">
        <v>93</v>
      </c>
      <c r="Y115" s="144" t="s">
        <v>94</v>
      </c>
      <c r="Z115" s="138" t="s">
        <v>95</v>
      </c>
      <c r="AA115" s="138"/>
      <c r="AB115" s="138"/>
      <c r="AC115" s="149">
        <v>374266.56422607898</v>
      </c>
      <c r="AD115" s="149">
        <f t="shared" si="18"/>
        <v>2699880.7132335831</v>
      </c>
      <c r="AE115" s="155">
        <v>0.65136344063151597</v>
      </c>
      <c r="AF115" s="155">
        <v>0.34863655936848398</v>
      </c>
      <c r="AG115" s="149">
        <f t="shared" si="19"/>
        <v>299413.25138086319</v>
      </c>
      <c r="AH115" s="149">
        <f t="shared" si="20"/>
        <v>74853.312845215798</v>
      </c>
      <c r="AI115" s="139"/>
      <c r="AJ115" s="11"/>
      <c r="AK115" s="12"/>
      <c r="AL115" s="17"/>
    </row>
    <row r="116" spans="1:38" x14ac:dyDescent="0.2">
      <c r="A116" s="153" t="s">
        <v>269</v>
      </c>
      <c r="B116" s="4"/>
      <c r="C116" s="5"/>
      <c r="D116" s="29">
        <v>6543.4212007504702</v>
      </c>
      <c r="E116" s="4" t="s">
        <v>90</v>
      </c>
      <c r="F116" s="4" t="s">
        <v>270</v>
      </c>
      <c r="G116" s="4">
        <v>2008.81936237065</v>
      </c>
      <c r="H116" s="3" t="s">
        <v>104</v>
      </c>
      <c r="I116" s="13">
        <v>2009.5479272365301</v>
      </c>
      <c r="J116" s="13">
        <f t="shared" si="17"/>
        <v>9.4520727634699142</v>
      </c>
      <c r="K116" s="13"/>
      <c r="L116" s="8">
        <v>38177</v>
      </c>
      <c r="M116" s="23">
        <v>1</v>
      </c>
      <c r="N116" s="16"/>
      <c r="O116" s="144">
        <v>-313.53940455341501</v>
      </c>
      <c r="P116" s="144" t="s">
        <v>93</v>
      </c>
      <c r="Q116" s="144" t="s">
        <v>93</v>
      </c>
      <c r="R116" s="144" t="s">
        <v>93</v>
      </c>
      <c r="S116" s="144" t="s">
        <v>93</v>
      </c>
      <c r="T116" s="144" t="s">
        <v>93</v>
      </c>
      <c r="U116" s="144" t="s">
        <v>93</v>
      </c>
      <c r="V116" s="144" t="s">
        <v>93</v>
      </c>
      <c r="W116" s="144" t="s">
        <v>93</v>
      </c>
      <c r="X116" s="144" t="s">
        <v>93</v>
      </c>
      <c r="Y116" s="144" t="s">
        <v>105</v>
      </c>
      <c r="Z116" s="144" t="s">
        <v>105</v>
      </c>
      <c r="AA116" s="138"/>
      <c r="AB116" s="138"/>
      <c r="AC116" s="149">
        <v>370456.33738555299</v>
      </c>
      <c r="AD116" s="149">
        <f t="shared" si="18"/>
        <v>3070337.0506191361</v>
      </c>
      <c r="AE116" s="155">
        <v>0.64980624263429099</v>
      </c>
      <c r="AF116" s="155">
        <v>0.35019375736570901</v>
      </c>
      <c r="AG116" s="149">
        <f t="shared" si="19"/>
        <v>296365.06990844238</v>
      </c>
      <c r="AH116" s="149">
        <f t="shared" si="20"/>
        <v>74091.267477110596</v>
      </c>
      <c r="AI116" s="139"/>
      <c r="AJ116" s="11"/>
      <c r="AK116" s="12"/>
      <c r="AL116" s="17"/>
    </row>
    <row r="117" spans="1:38" x14ac:dyDescent="0.2">
      <c r="A117" s="153" t="s">
        <v>271</v>
      </c>
      <c r="B117" s="4"/>
      <c r="C117" s="5"/>
      <c r="D117" s="29">
        <v>6639.9637898686697</v>
      </c>
      <c r="E117" s="4" t="s">
        <v>90</v>
      </c>
      <c r="F117" s="4" t="s">
        <v>91</v>
      </c>
      <c r="G117" s="4">
        <v>2008.88009360193</v>
      </c>
      <c r="H117" s="3" t="s">
        <v>106</v>
      </c>
      <c r="I117" s="13">
        <v>2009.6183138206</v>
      </c>
      <c r="J117" s="13">
        <f t="shared" si="17"/>
        <v>9.3816861794000488</v>
      </c>
      <c r="K117" s="13"/>
      <c r="L117" s="24">
        <v>37350</v>
      </c>
      <c r="M117" s="23">
        <v>1</v>
      </c>
      <c r="N117" s="16"/>
      <c r="O117" s="144">
        <v>-327.54978734050502</v>
      </c>
      <c r="P117" s="144" t="s">
        <v>93</v>
      </c>
      <c r="Q117" s="144" t="s">
        <v>93</v>
      </c>
      <c r="R117" s="144" t="s">
        <v>93</v>
      </c>
      <c r="S117" s="144" t="s">
        <v>93</v>
      </c>
      <c r="T117" s="144" t="s">
        <v>93</v>
      </c>
      <c r="U117" s="144" t="s">
        <v>93</v>
      </c>
      <c r="V117" s="144" t="s">
        <v>93</v>
      </c>
      <c r="W117" s="144" t="s">
        <v>93</v>
      </c>
      <c r="X117" s="144" t="s">
        <v>93</v>
      </c>
      <c r="Y117" s="144" t="s">
        <v>107</v>
      </c>
      <c r="Z117" s="138" t="s">
        <v>108</v>
      </c>
      <c r="AA117" s="138"/>
      <c r="AB117" s="138"/>
      <c r="AC117" s="149">
        <v>366646.110545028</v>
      </c>
      <c r="AD117" s="149">
        <f t="shared" si="18"/>
        <v>3436983.1611641641</v>
      </c>
      <c r="AE117" s="155">
        <v>0.64824904463706701</v>
      </c>
      <c r="AF117" s="155">
        <v>0.35175095536293299</v>
      </c>
      <c r="AG117" s="149">
        <f>AE117*AC117</f>
        <v>237677.99088071086</v>
      </c>
      <c r="AH117" s="149">
        <f>AC117-AG117</f>
        <v>128968.11966431714</v>
      </c>
      <c r="AI117" s="139"/>
      <c r="AJ117" s="11"/>
      <c r="AK117" s="12"/>
      <c r="AL117" s="17"/>
    </row>
    <row r="118" spans="1:38" x14ac:dyDescent="0.2">
      <c r="A118" s="153" t="s">
        <v>272</v>
      </c>
      <c r="B118" s="4"/>
      <c r="C118" s="5"/>
      <c r="D118" s="29">
        <v>6736.50637898687</v>
      </c>
      <c r="E118" s="4" t="s">
        <v>90</v>
      </c>
      <c r="F118" s="4" t="s">
        <v>91</v>
      </c>
      <c r="G118" s="4">
        <v>2008.9408248332099</v>
      </c>
      <c r="H118" s="3" t="s">
        <v>273</v>
      </c>
      <c r="I118" s="13">
        <v>2009.68870040467</v>
      </c>
      <c r="J118" s="13">
        <f t="shared" si="17"/>
        <v>9.311299595329956</v>
      </c>
      <c r="K118" s="13"/>
      <c r="L118" s="24">
        <v>37368</v>
      </c>
      <c r="M118" s="23">
        <v>1</v>
      </c>
      <c r="N118" s="16"/>
      <c r="O118" s="144">
        <v>-341.56017012759497</v>
      </c>
      <c r="P118" s="144" t="s">
        <v>93</v>
      </c>
      <c r="Q118" s="144" t="s">
        <v>93</v>
      </c>
      <c r="R118" s="144" t="s">
        <v>93</v>
      </c>
      <c r="S118" s="144" t="s">
        <v>93</v>
      </c>
      <c r="T118" s="144" t="s">
        <v>93</v>
      </c>
      <c r="U118" s="144" t="s">
        <v>93</v>
      </c>
      <c r="V118" s="144" t="s">
        <v>93</v>
      </c>
      <c r="W118" s="144" t="s">
        <v>93</v>
      </c>
      <c r="X118" s="144" t="s">
        <v>93</v>
      </c>
      <c r="Y118" s="144" t="s">
        <v>107</v>
      </c>
      <c r="Z118" s="138" t="s">
        <v>108</v>
      </c>
      <c r="AA118" s="157" t="s">
        <v>274</v>
      </c>
      <c r="AB118" s="45"/>
      <c r="AC118" s="149">
        <v>362835.88370450301</v>
      </c>
      <c r="AD118" s="149">
        <f t="shared" si="18"/>
        <v>3799819.0448686671</v>
      </c>
      <c r="AE118" s="150">
        <v>0.64669184663984203</v>
      </c>
      <c r="AF118" s="150">
        <v>0.35330815336015797</v>
      </c>
      <c r="AG118" s="149">
        <f t="shared" ref="AG118:AG148" si="21">AE118*AC118</f>
        <v>234643.007660064</v>
      </c>
      <c r="AH118" s="149">
        <f t="shared" ref="AH118:AH148" si="22">AC118-AG118</f>
        <v>128192.87604443901</v>
      </c>
      <c r="AI118" s="139"/>
      <c r="AJ118" s="11"/>
      <c r="AK118" s="12"/>
      <c r="AL118" s="17"/>
    </row>
    <row r="119" spans="1:38" x14ac:dyDescent="0.2">
      <c r="A119" s="153" t="s">
        <v>275</v>
      </c>
      <c r="B119" s="4"/>
      <c r="C119" s="5"/>
      <c r="D119" s="30">
        <v>6833.0489681050603</v>
      </c>
      <c r="E119" s="4" t="s">
        <v>90</v>
      </c>
      <c r="F119" s="4" t="s">
        <v>91</v>
      </c>
      <c r="G119" s="4">
        <v>2009.0015560644899</v>
      </c>
      <c r="H119" s="3" t="s">
        <v>111</v>
      </c>
      <c r="I119" s="13">
        <v>2009.7590869887299</v>
      </c>
      <c r="J119" s="13">
        <f t="shared" si="17"/>
        <v>9.240913011270095</v>
      </c>
      <c r="K119" s="13"/>
      <c r="L119" s="8">
        <v>37365</v>
      </c>
      <c r="M119" s="23">
        <v>1</v>
      </c>
      <c r="N119" s="16"/>
      <c r="O119" s="144">
        <v>-355.57055291468498</v>
      </c>
      <c r="P119" s="144" t="s">
        <v>93</v>
      </c>
      <c r="Q119" s="144" t="s">
        <v>93</v>
      </c>
      <c r="R119" s="144" t="s">
        <v>93</v>
      </c>
      <c r="S119" s="144" t="s">
        <v>93</v>
      </c>
      <c r="T119" s="144" t="s">
        <v>93</v>
      </c>
      <c r="U119" s="144" t="s">
        <v>93</v>
      </c>
      <c r="V119" s="144" t="s">
        <v>93</v>
      </c>
      <c r="W119" s="144" t="s">
        <v>93</v>
      </c>
      <c r="X119" s="144" t="s">
        <v>93</v>
      </c>
      <c r="Y119" s="144" t="s">
        <v>107</v>
      </c>
      <c r="Z119" s="138" t="s">
        <v>108</v>
      </c>
      <c r="AA119" s="138"/>
      <c r="AB119" s="138"/>
      <c r="AC119" s="149">
        <v>359025.65686397703</v>
      </c>
      <c r="AD119" s="149">
        <f t="shared" si="18"/>
        <v>4158844.7017326443</v>
      </c>
      <c r="AE119" s="150">
        <v>0.64513464864261705</v>
      </c>
      <c r="AF119" s="150">
        <v>0.35486535135738201</v>
      </c>
      <c r="AG119" s="149">
        <f t="shared" si="21"/>
        <v>231619.89099462662</v>
      </c>
      <c r="AH119" s="149">
        <f t="shared" si="22"/>
        <v>127405.76586935041</v>
      </c>
      <c r="AI119" s="139"/>
      <c r="AJ119" s="11"/>
      <c r="AK119" s="12"/>
      <c r="AL119" s="17"/>
    </row>
    <row r="120" spans="1:38" x14ac:dyDescent="0.2">
      <c r="A120" s="153" t="s">
        <v>276</v>
      </c>
      <c r="B120" s="4"/>
      <c r="C120" s="5"/>
      <c r="D120" s="29">
        <v>6929.5915572232598</v>
      </c>
      <c r="E120" s="4" t="s">
        <v>90</v>
      </c>
      <c r="F120" s="4" t="s">
        <v>103</v>
      </c>
      <c r="G120" s="4">
        <v>2009.0622872957599</v>
      </c>
      <c r="H120" s="3" t="s">
        <v>112</v>
      </c>
      <c r="I120" s="13">
        <v>2009.8294735728</v>
      </c>
      <c r="J120" s="13">
        <f t="shared" si="17"/>
        <v>9.1705264272000022</v>
      </c>
      <c r="K120" s="13"/>
      <c r="L120" s="8">
        <v>38182</v>
      </c>
      <c r="M120" s="23">
        <v>1</v>
      </c>
      <c r="N120" s="16"/>
      <c r="O120" s="144">
        <v>-369.58093570177601</v>
      </c>
      <c r="P120" s="144" t="s">
        <v>93</v>
      </c>
      <c r="Q120" s="144" t="s">
        <v>93</v>
      </c>
      <c r="R120" s="144" t="s">
        <v>93</v>
      </c>
      <c r="S120" s="144" t="s">
        <v>93</v>
      </c>
      <c r="T120" s="144" t="s">
        <v>93</v>
      </c>
      <c r="U120" s="144" t="s">
        <v>93</v>
      </c>
      <c r="V120" s="144" t="s">
        <v>93</v>
      </c>
      <c r="W120" s="144" t="s">
        <v>93</v>
      </c>
      <c r="X120" s="144" t="s">
        <v>93</v>
      </c>
      <c r="Y120" s="144" t="s">
        <v>107</v>
      </c>
      <c r="Z120" s="138" t="s">
        <v>108</v>
      </c>
      <c r="AA120" s="138"/>
      <c r="AB120" s="138"/>
      <c r="AC120" s="149">
        <v>355215.43002345198</v>
      </c>
      <c r="AD120" s="149">
        <f t="shared" si="18"/>
        <v>4514060.1317560961</v>
      </c>
      <c r="AE120" s="150">
        <v>0.64357745064539296</v>
      </c>
      <c r="AF120" s="150">
        <v>0.35642254935460699</v>
      </c>
      <c r="AG120" s="149">
        <f t="shared" si="21"/>
        <v>228608.6408844002</v>
      </c>
      <c r="AH120" s="149">
        <f t="shared" si="22"/>
        <v>126606.78913905178</v>
      </c>
      <c r="AI120" s="139"/>
      <c r="AJ120" s="11"/>
      <c r="AK120" s="12"/>
      <c r="AL120" s="17"/>
    </row>
    <row r="121" spans="1:38" x14ac:dyDescent="0.2">
      <c r="A121" s="153" t="s">
        <v>277</v>
      </c>
      <c r="B121" s="4"/>
      <c r="C121" s="5"/>
      <c r="D121" s="29">
        <v>7026.1341463414601</v>
      </c>
      <c r="E121" s="4" t="s">
        <v>90</v>
      </c>
      <c r="F121" s="4" t="s">
        <v>103</v>
      </c>
      <c r="G121" s="4">
        <v>2009.1230185270399</v>
      </c>
      <c r="H121" s="3" t="s">
        <v>113</v>
      </c>
      <c r="I121" s="13">
        <v>2009.8998601568701</v>
      </c>
      <c r="J121" s="13">
        <f t="shared" si="17"/>
        <v>9.1001398431299094</v>
      </c>
      <c r="K121" s="13"/>
      <c r="L121" s="8">
        <v>38170</v>
      </c>
      <c r="M121" s="23">
        <v>1</v>
      </c>
      <c r="N121" s="40"/>
      <c r="O121" s="144">
        <v>-383.59131848886602</v>
      </c>
      <c r="P121" s="144" t="s">
        <v>93</v>
      </c>
      <c r="Q121" s="144" t="s">
        <v>93</v>
      </c>
      <c r="R121" s="144" t="s">
        <v>93</v>
      </c>
      <c r="S121" s="144" t="s">
        <v>93</v>
      </c>
      <c r="T121" s="144" t="s">
        <v>93</v>
      </c>
      <c r="U121" s="144" t="s">
        <v>93</v>
      </c>
      <c r="V121" s="144" t="s">
        <v>93</v>
      </c>
      <c r="W121" s="144" t="s">
        <v>93</v>
      </c>
      <c r="X121" s="144" t="s">
        <v>93</v>
      </c>
      <c r="Y121" s="144" t="s">
        <v>107</v>
      </c>
      <c r="Z121" s="138" t="s">
        <v>108</v>
      </c>
      <c r="AA121" s="138"/>
      <c r="AB121" s="138"/>
      <c r="AC121" s="149">
        <v>351405.20318292698</v>
      </c>
      <c r="AD121" s="149">
        <f t="shared" si="18"/>
        <v>4865465.3349390235</v>
      </c>
      <c r="AE121" s="150">
        <v>0.64202025264816798</v>
      </c>
      <c r="AF121" s="150">
        <v>0.35797974735183202</v>
      </c>
      <c r="AG121" s="149">
        <f t="shared" si="21"/>
        <v>225609.25732938357</v>
      </c>
      <c r="AH121" s="149">
        <f t="shared" si="22"/>
        <v>125795.94585354341</v>
      </c>
      <c r="AI121" s="139"/>
      <c r="AJ121" s="11"/>
      <c r="AK121" s="12"/>
      <c r="AL121" s="17"/>
    </row>
    <row r="122" spans="1:38" x14ac:dyDescent="0.2">
      <c r="A122" s="153" t="s">
        <v>278</v>
      </c>
      <c r="B122" s="4"/>
      <c r="C122" s="5"/>
      <c r="D122" s="29">
        <v>7122.6767354596604</v>
      </c>
      <c r="E122" s="4" t="s">
        <v>90</v>
      </c>
      <c r="F122" s="4" t="s">
        <v>103</v>
      </c>
      <c r="G122" s="4">
        <v>2009.1837497583199</v>
      </c>
      <c r="H122" s="3" t="s">
        <v>114</v>
      </c>
      <c r="I122" s="13">
        <v>2009.97024674093</v>
      </c>
      <c r="J122" s="13">
        <f t="shared" si="17"/>
        <v>9.0297532590700484</v>
      </c>
      <c r="K122" s="13"/>
      <c r="L122" s="8">
        <v>38175</v>
      </c>
      <c r="M122" s="23">
        <v>1</v>
      </c>
      <c r="N122" s="16"/>
      <c r="O122" s="144">
        <v>-397.60170127595597</v>
      </c>
      <c r="P122" s="144" t="s">
        <v>93</v>
      </c>
      <c r="Q122" s="144" t="s">
        <v>93</v>
      </c>
      <c r="R122" s="144" t="s">
        <v>93</v>
      </c>
      <c r="S122" s="144" t="s">
        <v>93</v>
      </c>
      <c r="T122" s="144" t="s">
        <v>93</v>
      </c>
      <c r="U122" s="144" t="s">
        <v>93</v>
      </c>
      <c r="V122" s="144" t="s">
        <v>93</v>
      </c>
      <c r="W122" s="144" t="s">
        <v>93</v>
      </c>
      <c r="X122" s="144" t="s">
        <v>93</v>
      </c>
      <c r="Y122" s="144" t="s">
        <v>107</v>
      </c>
      <c r="Z122" s="138" t="s">
        <v>108</v>
      </c>
      <c r="AA122" s="138"/>
      <c r="AB122" s="138"/>
      <c r="AC122" s="149">
        <v>347594.976342401</v>
      </c>
      <c r="AD122" s="149">
        <f t="shared" si="18"/>
        <v>5213060.311281424</v>
      </c>
      <c r="AE122" s="150">
        <v>0.640463054650944</v>
      </c>
      <c r="AF122" s="150">
        <v>0.359536945349056</v>
      </c>
      <c r="AG122" s="149">
        <f t="shared" si="21"/>
        <v>222621.74032957677</v>
      </c>
      <c r="AH122" s="149">
        <f t="shared" si="22"/>
        <v>124973.23601282423</v>
      </c>
      <c r="AI122" s="139"/>
      <c r="AJ122" s="11"/>
      <c r="AK122" s="12"/>
      <c r="AL122" s="17"/>
    </row>
    <row r="123" spans="1:38" x14ac:dyDescent="0.2">
      <c r="A123" s="153" t="s">
        <v>279</v>
      </c>
      <c r="B123" s="4"/>
      <c r="C123" s="5"/>
      <c r="D123" s="29">
        <v>7219.2193245778599</v>
      </c>
      <c r="E123" s="4" t="s">
        <v>90</v>
      </c>
      <c r="F123" s="4" t="s">
        <v>103</v>
      </c>
      <c r="G123" s="4">
        <v>2009.2444809896001</v>
      </c>
      <c r="H123" s="3" t="s">
        <v>116</v>
      </c>
      <c r="I123" s="13">
        <v>2010.040633325</v>
      </c>
      <c r="J123" s="13">
        <f t="shared" si="17"/>
        <v>8.9593666749999556</v>
      </c>
      <c r="K123" s="13"/>
      <c r="L123" s="8">
        <v>38182</v>
      </c>
      <c r="M123" s="23">
        <v>1</v>
      </c>
      <c r="N123" s="16"/>
      <c r="O123" s="144">
        <v>-411.61208406304701</v>
      </c>
      <c r="P123" s="144" t="s">
        <v>93</v>
      </c>
      <c r="Q123" s="144" t="s">
        <v>93</v>
      </c>
      <c r="R123" s="144" t="s">
        <v>93</v>
      </c>
      <c r="S123" s="144" t="s">
        <v>93</v>
      </c>
      <c r="T123" s="144" t="s">
        <v>93</v>
      </c>
      <c r="U123" s="144" t="s">
        <v>93</v>
      </c>
      <c r="V123" s="144" t="s">
        <v>93</v>
      </c>
      <c r="W123" s="144" t="s">
        <v>93</v>
      </c>
      <c r="X123" s="144" t="s">
        <v>93</v>
      </c>
      <c r="Y123" s="144" t="s">
        <v>107</v>
      </c>
      <c r="Z123" s="138" t="s">
        <v>108</v>
      </c>
      <c r="AA123" s="138"/>
      <c r="AB123" s="138"/>
      <c r="AC123" s="149">
        <v>343784.74950187601</v>
      </c>
      <c r="AD123" s="149">
        <f t="shared" si="18"/>
        <v>5556845.0607832996</v>
      </c>
      <c r="AE123" s="150">
        <v>0.63890585665371902</v>
      </c>
      <c r="AF123" s="150">
        <v>0.36109414334628098</v>
      </c>
      <c r="AG123" s="149">
        <f t="shared" si="21"/>
        <v>219646.08988498029</v>
      </c>
      <c r="AH123" s="149">
        <f t="shared" si="22"/>
        <v>124138.65961689572</v>
      </c>
      <c r="AI123" s="139"/>
      <c r="AJ123" s="11"/>
      <c r="AK123" s="12"/>
      <c r="AL123" s="17"/>
    </row>
    <row r="124" spans="1:38" x14ac:dyDescent="0.2">
      <c r="A124" s="153" t="s">
        <v>280</v>
      </c>
      <c r="B124" s="4"/>
      <c r="C124" s="5"/>
      <c r="D124" s="4">
        <v>7315.7619136960602</v>
      </c>
      <c r="E124" s="4" t="s">
        <v>90</v>
      </c>
      <c r="F124" s="4" t="s">
        <v>103</v>
      </c>
      <c r="G124" s="4">
        <v>2009.3052122208801</v>
      </c>
      <c r="H124" s="3" t="s">
        <v>118</v>
      </c>
      <c r="I124" s="13">
        <v>2010.1110199090699</v>
      </c>
      <c r="J124" s="13">
        <f t="shared" si="17"/>
        <v>8.8889800909300902</v>
      </c>
      <c r="K124" s="13">
        <v>2017</v>
      </c>
      <c r="L124" s="24">
        <v>38183</v>
      </c>
      <c r="M124" s="23">
        <v>1</v>
      </c>
      <c r="N124" s="16"/>
      <c r="O124" s="144">
        <v>-425.62246685013702</v>
      </c>
      <c r="P124" s="144" t="s">
        <v>93</v>
      </c>
      <c r="Q124" s="144" t="s">
        <v>93</v>
      </c>
      <c r="R124" s="144" t="s">
        <v>93</v>
      </c>
      <c r="S124" s="144" t="s">
        <v>93</v>
      </c>
      <c r="T124" s="144" t="s">
        <v>93</v>
      </c>
      <c r="U124" s="144" t="s">
        <v>93</v>
      </c>
      <c r="V124" s="144" t="s">
        <v>93</v>
      </c>
      <c r="W124" s="144" t="s">
        <v>93</v>
      </c>
      <c r="X124" s="144" t="s">
        <v>93</v>
      </c>
      <c r="Y124" s="144" t="s">
        <v>119</v>
      </c>
      <c r="Z124" s="138" t="s">
        <v>281</v>
      </c>
      <c r="AA124" s="138"/>
      <c r="AB124" s="138"/>
      <c r="AC124" s="149">
        <v>339974.52266135102</v>
      </c>
      <c r="AD124" s="149">
        <f t="shared" si="18"/>
        <v>5896819.5834446503</v>
      </c>
      <c r="AE124" s="150">
        <v>0.63734865865649504</v>
      </c>
      <c r="AF124" s="150">
        <v>0.36265134134350502</v>
      </c>
      <c r="AG124" s="149">
        <f t="shared" si="21"/>
        <v>216682.30599559424</v>
      </c>
      <c r="AH124" s="149">
        <f t="shared" si="22"/>
        <v>123292.21666575677</v>
      </c>
      <c r="AI124" s="139"/>
      <c r="AJ124" s="11"/>
      <c r="AK124" s="12"/>
      <c r="AL124" s="17"/>
    </row>
    <row r="125" spans="1:38" x14ac:dyDescent="0.2">
      <c r="A125" s="153" t="s">
        <v>282</v>
      </c>
      <c r="B125" s="4"/>
      <c r="C125" s="5"/>
      <c r="D125" s="29">
        <v>7412.3045028142596</v>
      </c>
      <c r="E125" s="4" t="s">
        <v>90</v>
      </c>
      <c r="F125" s="4" t="s">
        <v>103</v>
      </c>
      <c r="G125" s="4">
        <v>2009.3659434521601</v>
      </c>
      <c r="H125" s="3" t="s">
        <v>122</v>
      </c>
      <c r="I125" s="13">
        <v>2010.18140649314</v>
      </c>
      <c r="J125" s="13">
        <f t="shared" si="17"/>
        <v>8.8185935068599974</v>
      </c>
      <c r="K125" s="13"/>
      <c r="L125" s="8">
        <v>38182</v>
      </c>
      <c r="M125" s="23">
        <v>1</v>
      </c>
      <c r="N125" s="16"/>
      <c r="O125" s="144">
        <v>-439.63284963722703</v>
      </c>
      <c r="P125" s="144" t="s">
        <v>93</v>
      </c>
      <c r="Q125" s="144" t="s">
        <v>93</v>
      </c>
      <c r="R125" s="144" t="s">
        <v>93</v>
      </c>
      <c r="S125" s="144" t="s">
        <v>93</v>
      </c>
      <c r="T125" s="144" t="s">
        <v>93</v>
      </c>
      <c r="U125" s="144" t="s">
        <v>93</v>
      </c>
      <c r="V125" s="144" t="s">
        <v>93</v>
      </c>
      <c r="W125" s="144" t="s">
        <v>93</v>
      </c>
      <c r="X125" s="144" t="s">
        <v>93</v>
      </c>
      <c r="Y125" s="144" t="s">
        <v>123</v>
      </c>
      <c r="Z125" s="138" t="s">
        <v>124</v>
      </c>
      <c r="AA125" s="138">
        <v>92805</v>
      </c>
      <c r="AB125" s="45"/>
      <c r="AC125" s="149">
        <v>336164.29582082498</v>
      </c>
      <c r="AD125" s="149">
        <f t="shared" si="18"/>
        <v>6232983.8792654751</v>
      </c>
      <c r="AE125" s="150">
        <v>0.63579146065926995</v>
      </c>
      <c r="AF125" s="150">
        <v>0.36420853934073</v>
      </c>
      <c r="AG125" s="149">
        <f t="shared" si="21"/>
        <v>213730.38866141724</v>
      </c>
      <c r="AH125" s="149">
        <f t="shared" si="22"/>
        <v>122433.90715940774</v>
      </c>
      <c r="AI125" s="139"/>
      <c r="AJ125" s="11"/>
      <c r="AK125" s="12"/>
      <c r="AL125" s="17"/>
    </row>
    <row r="126" spans="1:38" x14ac:dyDescent="0.2">
      <c r="A126" s="153" t="s">
        <v>283</v>
      </c>
      <c r="B126" s="4"/>
      <c r="C126" s="5"/>
      <c r="D126" s="29">
        <v>7508.84709193246</v>
      </c>
      <c r="E126" s="4" t="s">
        <v>90</v>
      </c>
      <c r="F126" s="4" t="s">
        <v>103</v>
      </c>
      <c r="G126" s="4">
        <v>2009.4266746834401</v>
      </c>
      <c r="H126" s="3" t="s">
        <v>126</v>
      </c>
      <c r="I126" s="13">
        <v>2010.2517930772001</v>
      </c>
      <c r="J126" s="13">
        <f t="shared" si="17"/>
        <v>8.7482069227999091</v>
      </c>
      <c r="K126" s="13"/>
      <c r="L126" s="8">
        <v>38176</v>
      </c>
      <c r="M126" s="23">
        <v>1</v>
      </c>
      <c r="N126" s="16"/>
      <c r="O126" s="144">
        <v>-453.64323242431698</v>
      </c>
      <c r="P126" s="144" t="s">
        <v>93</v>
      </c>
      <c r="Q126" s="144" t="s">
        <v>93</v>
      </c>
      <c r="R126" s="144" t="s">
        <v>93</v>
      </c>
      <c r="S126" s="144" t="s">
        <v>93</v>
      </c>
      <c r="T126" s="144" t="s">
        <v>93</v>
      </c>
      <c r="U126" s="144" t="s">
        <v>93</v>
      </c>
      <c r="V126" s="144" t="s">
        <v>93</v>
      </c>
      <c r="W126" s="144" t="s">
        <v>93</v>
      </c>
      <c r="X126" s="144" t="s">
        <v>93</v>
      </c>
      <c r="Y126" s="144" t="s">
        <v>123</v>
      </c>
      <c r="Z126" s="138" t="s">
        <v>124</v>
      </c>
      <c r="AA126" s="138"/>
      <c r="AB126" s="45"/>
      <c r="AC126" s="149">
        <v>332354.06898029998</v>
      </c>
      <c r="AD126" s="149">
        <f t="shared" si="18"/>
        <v>6565337.948245775</v>
      </c>
      <c r="AE126" s="150">
        <v>0.63423426266204497</v>
      </c>
      <c r="AF126" s="150">
        <v>0.36576573733795398</v>
      </c>
      <c r="AG126" s="149">
        <f t="shared" si="21"/>
        <v>210790.33788245099</v>
      </c>
      <c r="AH126" s="149">
        <f t="shared" si="22"/>
        <v>121563.731097849</v>
      </c>
      <c r="AI126" s="139"/>
      <c r="AJ126" s="11"/>
      <c r="AK126" s="12"/>
      <c r="AL126" s="17"/>
    </row>
    <row r="127" spans="1:38" x14ac:dyDescent="0.2">
      <c r="A127" s="153" t="s">
        <v>284</v>
      </c>
      <c r="B127" s="4"/>
      <c r="C127" s="5"/>
      <c r="D127" s="29">
        <v>7605.3896810506603</v>
      </c>
      <c r="E127" s="4" t="s">
        <v>90</v>
      </c>
      <c r="F127" s="4" t="s">
        <v>103</v>
      </c>
      <c r="G127" s="4">
        <v>2009.4874059147201</v>
      </c>
      <c r="H127" s="3" t="s">
        <v>128</v>
      </c>
      <c r="I127" s="13">
        <v>2010.32217966127</v>
      </c>
      <c r="J127" s="13">
        <f t="shared" si="17"/>
        <v>8.6778203387300437</v>
      </c>
      <c r="K127" s="13"/>
      <c r="L127" s="8">
        <v>38183</v>
      </c>
      <c r="M127" s="23">
        <v>1</v>
      </c>
      <c r="N127" s="16"/>
      <c r="O127" s="144">
        <v>-467.65361521140801</v>
      </c>
      <c r="P127" s="144" t="s">
        <v>93</v>
      </c>
      <c r="Q127" s="144" t="s">
        <v>93</v>
      </c>
      <c r="R127" s="144" t="s">
        <v>93</v>
      </c>
      <c r="S127" s="144" t="s">
        <v>93</v>
      </c>
      <c r="T127" s="144" t="s">
        <v>93</v>
      </c>
      <c r="U127" s="144" t="s">
        <v>93</v>
      </c>
      <c r="V127" s="144" t="s">
        <v>93</v>
      </c>
      <c r="W127" s="144" t="s">
        <v>93</v>
      </c>
      <c r="X127" s="144" t="s">
        <v>93</v>
      </c>
      <c r="Y127" s="144" t="s">
        <v>285</v>
      </c>
      <c r="Z127" s="138" t="s">
        <v>124</v>
      </c>
      <c r="AA127" s="138"/>
      <c r="AB127" s="45"/>
      <c r="AC127" s="149">
        <v>328543.84213977499</v>
      </c>
      <c r="AD127" s="149">
        <f t="shared" si="18"/>
        <v>6893881.7903855499</v>
      </c>
      <c r="AE127" s="150">
        <v>0.63267706466482099</v>
      </c>
      <c r="AF127" s="150">
        <v>0.36732293533517901</v>
      </c>
      <c r="AG127" s="149">
        <f t="shared" si="21"/>
        <v>207862.15365869517</v>
      </c>
      <c r="AH127" s="149">
        <f t="shared" si="22"/>
        <v>120681.68848107982</v>
      </c>
      <c r="AI127" s="139"/>
      <c r="AJ127" s="11"/>
      <c r="AK127" s="12"/>
      <c r="AL127" s="17"/>
    </row>
    <row r="128" spans="1:38" x14ac:dyDescent="0.2">
      <c r="A128" s="153" t="s">
        <v>286</v>
      </c>
      <c r="B128" s="4"/>
      <c r="C128" s="5"/>
      <c r="D128" s="29">
        <v>7701.9322701688498</v>
      </c>
      <c r="E128" s="4" t="s">
        <v>90</v>
      </c>
      <c r="F128" s="4" t="s">
        <v>103</v>
      </c>
      <c r="G128" s="4">
        <v>2009.548137146</v>
      </c>
      <c r="H128" s="3" t="s">
        <v>287</v>
      </c>
      <c r="I128" s="13">
        <v>2010.39256624534</v>
      </c>
      <c r="J128" s="13">
        <f t="shared" si="17"/>
        <v>8.6074337546599509</v>
      </c>
      <c r="K128" s="13"/>
      <c r="L128" s="8">
        <v>38182</v>
      </c>
      <c r="M128" s="23">
        <v>1</v>
      </c>
      <c r="N128" s="16"/>
      <c r="O128" s="23">
        <v>-481.66399799849802</v>
      </c>
      <c r="P128" s="16"/>
      <c r="Q128" s="16"/>
      <c r="R128" s="16"/>
      <c r="S128" s="16"/>
      <c r="T128" s="16"/>
      <c r="U128" s="16"/>
      <c r="V128" s="49" t="s">
        <v>132</v>
      </c>
      <c r="W128" s="49"/>
      <c r="X128" s="13"/>
      <c r="Y128" s="138" t="s">
        <v>133</v>
      </c>
      <c r="Z128" s="138" t="s">
        <v>134</v>
      </c>
      <c r="AA128" s="138">
        <v>85809</v>
      </c>
      <c r="AB128" s="138"/>
      <c r="AC128" s="149">
        <v>324733.61529924901</v>
      </c>
      <c r="AD128" s="149">
        <f t="shared" si="18"/>
        <v>7218615.405684799</v>
      </c>
      <c r="AE128" s="150">
        <v>0.63111986666759601</v>
      </c>
      <c r="AF128" s="150">
        <v>0.36888013333240399</v>
      </c>
      <c r="AG128" s="149">
        <f t="shared" si="21"/>
        <v>204945.83599014845</v>
      </c>
      <c r="AH128" s="149">
        <f t="shared" si="22"/>
        <v>119787.77930910056</v>
      </c>
      <c r="AI128" s="156" t="s">
        <v>96</v>
      </c>
      <c r="AJ128" s="11"/>
      <c r="AK128" s="12"/>
      <c r="AL128" s="17"/>
    </row>
    <row r="129" spans="1:38" x14ac:dyDescent="0.2">
      <c r="A129" s="153" t="s">
        <v>288</v>
      </c>
      <c r="B129" s="4"/>
      <c r="C129" s="5"/>
      <c r="D129" s="29">
        <v>7798.4748592870501</v>
      </c>
      <c r="E129" s="4" t="s">
        <v>90</v>
      </c>
      <c r="F129" s="4" t="s">
        <v>103</v>
      </c>
      <c r="G129" s="4">
        <v>2009.60886837728</v>
      </c>
      <c r="H129" s="3" t="s">
        <v>136</v>
      </c>
      <c r="I129" s="13">
        <v>2010.4629528293999</v>
      </c>
      <c r="J129" s="13">
        <f t="shared" si="17"/>
        <v>8.5370471706000899</v>
      </c>
      <c r="K129" s="13"/>
      <c r="L129" s="8">
        <v>38184</v>
      </c>
      <c r="M129" s="23">
        <v>1</v>
      </c>
      <c r="N129" s="16"/>
      <c r="O129" s="23">
        <v>-495.67438078558803</v>
      </c>
      <c r="P129" s="16"/>
      <c r="Q129" s="16"/>
      <c r="R129" s="16"/>
      <c r="S129" s="16"/>
      <c r="T129" s="16"/>
      <c r="U129" s="16"/>
      <c r="V129" s="49" t="s">
        <v>132</v>
      </c>
      <c r="W129" s="49"/>
      <c r="X129" s="13"/>
      <c r="Y129" s="138" t="s">
        <v>133</v>
      </c>
      <c r="Z129" s="138" t="s">
        <v>134</v>
      </c>
      <c r="AA129" s="7"/>
      <c r="AB129" s="45"/>
      <c r="AC129" s="149">
        <v>320923.38845872402</v>
      </c>
      <c r="AD129" s="149">
        <f t="shared" si="18"/>
        <v>7539538.7941435231</v>
      </c>
      <c r="AE129" s="150">
        <v>0.62956266867037203</v>
      </c>
      <c r="AF129" s="150">
        <v>0.37043733132962797</v>
      </c>
      <c r="AG129" s="149">
        <f t="shared" si="21"/>
        <v>202041.38487681275</v>
      </c>
      <c r="AH129" s="149">
        <f t="shared" si="22"/>
        <v>118882.00358191127</v>
      </c>
      <c r="AI129" s="156" t="s">
        <v>96</v>
      </c>
      <c r="AJ129" s="11"/>
      <c r="AK129" s="12"/>
      <c r="AL129" s="17"/>
    </row>
    <row r="130" spans="1:38" x14ac:dyDescent="0.2">
      <c r="A130" s="153" t="s">
        <v>289</v>
      </c>
      <c r="B130" s="4"/>
      <c r="C130" s="5"/>
      <c r="D130" s="29">
        <v>7895.0174484052504</v>
      </c>
      <c r="E130" s="4" t="s">
        <v>90</v>
      </c>
      <c r="F130" s="4" t="s">
        <v>103</v>
      </c>
      <c r="G130" s="4">
        <v>2009.66959960855</v>
      </c>
      <c r="H130" s="3" t="s">
        <v>138</v>
      </c>
      <c r="I130" s="13">
        <v>2010.53333941347</v>
      </c>
      <c r="J130" s="13">
        <f t="shared" si="17"/>
        <v>8.4666605865299971</v>
      </c>
      <c r="K130" s="13"/>
      <c r="L130" s="8">
        <v>38184</v>
      </c>
      <c r="M130" s="23">
        <v>1</v>
      </c>
      <c r="N130" s="16"/>
      <c r="O130" s="23">
        <v>-509.684763572679</v>
      </c>
      <c r="P130" s="16"/>
      <c r="Q130" s="16"/>
      <c r="R130" s="16"/>
      <c r="S130" s="16"/>
      <c r="T130" s="16"/>
      <c r="U130" s="16"/>
      <c r="V130" s="49" t="s">
        <v>132</v>
      </c>
      <c r="W130" s="49"/>
      <c r="X130" s="13"/>
      <c r="Y130" s="138" t="s">
        <v>133</v>
      </c>
      <c r="Z130" s="138" t="s">
        <v>134</v>
      </c>
      <c r="AA130" s="138"/>
      <c r="AB130" s="138"/>
      <c r="AC130" s="149">
        <v>317113.16161819902</v>
      </c>
      <c r="AD130" s="149">
        <f t="shared" si="18"/>
        <v>7856651.9557617223</v>
      </c>
      <c r="AE130" s="150">
        <v>0.62800547067314705</v>
      </c>
      <c r="AF130" s="150">
        <v>0.37199452932685301</v>
      </c>
      <c r="AG130" s="149">
        <f t="shared" si="21"/>
        <v>199148.80031868682</v>
      </c>
      <c r="AH130" s="149">
        <f t="shared" si="22"/>
        <v>117964.36129951221</v>
      </c>
      <c r="AI130" s="156" t="s">
        <v>96</v>
      </c>
      <c r="AJ130" s="11"/>
      <c r="AK130" s="12"/>
      <c r="AL130" s="17"/>
    </row>
    <row r="131" spans="1:38" x14ac:dyDescent="0.2">
      <c r="A131" s="153" t="s">
        <v>290</v>
      </c>
      <c r="B131" s="4"/>
      <c r="C131" s="5"/>
      <c r="D131" s="29">
        <v>7991.5600375234499</v>
      </c>
      <c r="E131" s="4" t="s">
        <v>90</v>
      </c>
      <c r="F131" s="4" t="s">
        <v>103</v>
      </c>
      <c r="G131" s="4">
        <v>2009.73033083983</v>
      </c>
      <c r="H131" s="3" t="s">
        <v>140</v>
      </c>
      <c r="I131" s="13">
        <v>2010.6037259975401</v>
      </c>
      <c r="J131" s="13">
        <f t="shared" si="17"/>
        <v>8.3962740024599043</v>
      </c>
      <c r="K131" s="13"/>
      <c r="L131" s="8">
        <v>38189</v>
      </c>
      <c r="M131" s="23">
        <v>1</v>
      </c>
      <c r="N131" s="16"/>
      <c r="O131" s="23">
        <v>-523.69514635976896</v>
      </c>
      <c r="P131" s="16"/>
      <c r="Q131" s="16"/>
      <c r="R131" s="16"/>
      <c r="S131" s="16"/>
      <c r="T131" s="16"/>
      <c r="U131" s="16"/>
      <c r="V131" s="49" t="s">
        <v>132</v>
      </c>
      <c r="W131" s="49"/>
      <c r="X131" s="13"/>
      <c r="Y131" s="138" t="s">
        <v>133</v>
      </c>
      <c r="Z131" s="138" t="s">
        <v>134</v>
      </c>
      <c r="AA131" s="138"/>
      <c r="AB131" s="138"/>
      <c r="AC131" s="149">
        <v>313302.93477767298</v>
      </c>
      <c r="AD131" s="149">
        <f t="shared" si="18"/>
        <v>8169954.8905393956</v>
      </c>
      <c r="AE131" s="150">
        <v>0.62644827267592296</v>
      </c>
      <c r="AF131" s="150">
        <v>0.37355172732407699</v>
      </c>
      <c r="AG131" s="149">
        <f t="shared" si="21"/>
        <v>196268.08231577059</v>
      </c>
      <c r="AH131" s="149">
        <f t="shared" si="22"/>
        <v>117034.8524619024</v>
      </c>
      <c r="AI131" s="156" t="s">
        <v>96</v>
      </c>
      <c r="AJ131" s="11"/>
      <c r="AK131" s="12"/>
      <c r="AL131" s="17"/>
    </row>
    <row r="132" spans="1:38" x14ac:dyDescent="0.2">
      <c r="A132" s="153" t="s">
        <v>291</v>
      </c>
      <c r="B132" s="4"/>
      <c r="C132" s="5"/>
      <c r="D132" s="29">
        <v>8088.1026266416502</v>
      </c>
      <c r="E132" s="4" t="s">
        <v>90</v>
      </c>
      <c r="F132" s="4" t="s">
        <v>103</v>
      </c>
      <c r="G132" s="4">
        <v>2009.79106207111</v>
      </c>
      <c r="H132" s="3" t="s">
        <v>142</v>
      </c>
      <c r="I132" s="13">
        <v>2010.6741125816</v>
      </c>
      <c r="J132" s="13">
        <f t="shared" si="17"/>
        <v>8.3258874184000433</v>
      </c>
      <c r="K132" s="13"/>
      <c r="L132" s="8">
        <v>38194</v>
      </c>
      <c r="M132" s="23">
        <v>1</v>
      </c>
      <c r="N132" s="16"/>
      <c r="O132" s="23">
        <v>-537.70552914685902</v>
      </c>
      <c r="P132" s="16"/>
      <c r="Q132" s="16"/>
      <c r="R132" s="16"/>
      <c r="S132" s="16"/>
      <c r="T132" s="16"/>
      <c r="U132" s="16"/>
      <c r="V132" s="49" t="s">
        <v>132</v>
      </c>
      <c r="W132" s="49"/>
      <c r="X132" s="13"/>
      <c r="Y132" s="138" t="s">
        <v>133</v>
      </c>
      <c r="Z132" s="138" t="s">
        <v>134</v>
      </c>
      <c r="AA132" s="138"/>
      <c r="AB132" s="138"/>
      <c r="AC132" s="149">
        <v>309492.70793714799</v>
      </c>
      <c r="AD132" s="149">
        <f t="shared" si="18"/>
        <v>8479447.598476544</v>
      </c>
      <c r="AE132" s="150">
        <v>0.62489107467869798</v>
      </c>
      <c r="AF132" s="150">
        <v>0.37510892532130202</v>
      </c>
      <c r="AG132" s="149">
        <f t="shared" si="21"/>
        <v>193399.2308680648</v>
      </c>
      <c r="AH132" s="149">
        <f t="shared" si="22"/>
        <v>116093.47706908319</v>
      </c>
      <c r="AI132" s="156" t="s">
        <v>96</v>
      </c>
      <c r="AJ132" s="11"/>
      <c r="AK132" s="12"/>
      <c r="AL132" s="17"/>
    </row>
    <row r="133" spans="1:38" x14ac:dyDescent="0.2">
      <c r="A133" s="153" t="s">
        <v>292</v>
      </c>
      <c r="B133" s="4"/>
      <c r="C133" s="5"/>
      <c r="D133" s="29">
        <v>8184.6452157598496</v>
      </c>
      <c r="E133" s="4" t="s">
        <v>90</v>
      </c>
      <c r="F133" s="4" t="s">
        <v>103</v>
      </c>
      <c r="G133" s="4">
        <v>2009.85179330239</v>
      </c>
      <c r="H133" s="3" t="s">
        <v>144</v>
      </c>
      <c r="I133" s="13">
        <v>2010.74449916567</v>
      </c>
      <c r="J133" s="13">
        <f t="shared" si="17"/>
        <v>8.2555008343299505</v>
      </c>
      <c r="K133" s="13"/>
      <c r="L133" s="8">
        <v>38176</v>
      </c>
      <c r="M133" s="23">
        <v>1</v>
      </c>
      <c r="N133" s="16"/>
      <c r="O133" s="23">
        <v>-551.71591193395</v>
      </c>
      <c r="P133" s="16"/>
      <c r="Q133" s="16"/>
      <c r="R133" s="16"/>
      <c r="S133" s="16"/>
      <c r="T133" s="16"/>
      <c r="U133" s="16"/>
      <c r="V133" s="49" t="s">
        <v>132</v>
      </c>
      <c r="W133" s="49"/>
      <c r="X133" s="13"/>
      <c r="Y133" s="138" t="s">
        <v>133</v>
      </c>
      <c r="Z133" s="138" t="s">
        <v>134</v>
      </c>
      <c r="AA133" s="138"/>
      <c r="AB133" s="138"/>
      <c r="AC133" s="149">
        <v>305682.481096623</v>
      </c>
      <c r="AD133" s="149">
        <f t="shared" si="18"/>
        <v>8785130.0795731675</v>
      </c>
      <c r="AE133" s="150">
        <v>0.623333876681473</v>
      </c>
      <c r="AF133" s="150">
        <v>0.376666123318526</v>
      </c>
      <c r="AG133" s="149">
        <f t="shared" si="21"/>
        <v>190542.24597556909</v>
      </c>
      <c r="AH133" s="149">
        <f t="shared" si="22"/>
        <v>115140.23512105391</v>
      </c>
      <c r="AI133" s="156" t="s">
        <v>96</v>
      </c>
      <c r="AJ133" s="11"/>
      <c r="AK133" s="12"/>
      <c r="AL133" s="17"/>
    </row>
    <row r="134" spans="1:38" x14ac:dyDescent="0.2">
      <c r="A134" s="153" t="s">
        <v>293</v>
      </c>
      <c r="B134" s="4"/>
      <c r="C134" s="5"/>
      <c r="D134" s="29">
        <v>8281.1878048780509</v>
      </c>
      <c r="E134" s="4" t="s">
        <v>90</v>
      </c>
      <c r="F134" s="4" t="s">
        <v>103</v>
      </c>
      <c r="G134" s="4">
        <v>2009.91252453367</v>
      </c>
      <c r="H134" s="3" t="s">
        <v>146</v>
      </c>
      <c r="I134" s="13">
        <v>2010.8148857497399</v>
      </c>
      <c r="J134" s="13">
        <f t="shared" si="17"/>
        <v>8.1851142502600851</v>
      </c>
      <c r="K134" s="13"/>
      <c r="L134" s="8">
        <v>38184</v>
      </c>
      <c r="M134" s="23">
        <v>1</v>
      </c>
      <c r="N134" s="16"/>
      <c r="O134" s="23">
        <v>-565.72629472103995</v>
      </c>
      <c r="P134" s="16"/>
      <c r="Q134" s="16"/>
      <c r="R134" s="16"/>
      <c r="S134" s="16"/>
      <c r="T134" s="16"/>
      <c r="U134" s="16"/>
      <c r="V134" s="49" t="s">
        <v>132</v>
      </c>
      <c r="W134" s="49"/>
      <c r="X134" s="13"/>
      <c r="Y134" s="138" t="s">
        <v>133</v>
      </c>
      <c r="Z134" s="138" t="s">
        <v>134</v>
      </c>
      <c r="AA134" s="138"/>
      <c r="AB134" s="138"/>
      <c r="AC134" s="149">
        <v>301872.25425609702</v>
      </c>
      <c r="AD134" s="149">
        <f t="shared" si="18"/>
        <v>9087002.3338292651</v>
      </c>
      <c r="AE134" s="150">
        <v>0.62177667868424902</v>
      </c>
      <c r="AF134" s="150">
        <v>0.37822332131575098</v>
      </c>
      <c r="AG134" s="149">
        <f t="shared" si="21"/>
        <v>187697.12763828316</v>
      </c>
      <c r="AH134" s="149">
        <f t="shared" si="22"/>
        <v>114175.12661781386</v>
      </c>
      <c r="AI134" s="156" t="s">
        <v>96</v>
      </c>
      <c r="AJ134" s="11"/>
      <c r="AK134" s="12"/>
      <c r="AL134" s="17"/>
    </row>
    <row r="135" spans="1:38" x14ac:dyDescent="0.2">
      <c r="A135" s="153" t="s">
        <v>294</v>
      </c>
      <c r="B135" s="4"/>
      <c r="C135" s="5"/>
      <c r="D135" s="29">
        <v>8377.7303939962494</v>
      </c>
      <c r="E135" s="4" t="s">
        <v>90</v>
      </c>
      <c r="F135" s="4" t="s">
        <v>103</v>
      </c>
      <c r="G135" s="4">
        <v>2009.97325576495</v>
      </c>
      <c r="H135" s="3" t="s">
        <v>148</v>
      </c>
      <c r="I135" s="13">
        <v>2010.8852723338</v>
      </c>
      <c r="J135" s="13">
        <f t="shared" si="17"/>
        <v>8.1147276661999967</v>
      </c>
      <c r="K135" s="13"/>
      <c r="L135" s="8">
        <v>38187</v>
      </c>
      <c r="M135" s="23">
        <v>1</v>
      </c>
      <c r="N135" s="16"/>
      <c r="O135" s="23">
        <v>-579.73667750813001</v>
      </c>
      <c r="P135" s="16"/>
      <c r="Q135" s="16"/>
      <c r="R135" s="16"/>
      <c r="S135" s="16"/>
      <c r="T135" s="16"/>
      <c r="U135" s="16"/>
      <c r="V135" s="49" t="s">
        <v>132</v>
      </c>
      <c r="W135" s="49"/>
      <c r="X135" s="13"/>
      <c r="Y135" s="138" t="s">
        <v>133</v>
      </c>
      <c r="Z135" s="138" t="s">
        <v>134</v>
      </c>
      <c r="AA135" s="138"/>
      <c r="AB135" s="138"/>
      <c r="AC135" s="149">
        <v>298062.02741557203</v>
      </c>
      <c r="AD135" s="149">
        <f t="shared" si="18"/>
        <v>9385064.3612448368</v>
      </c>
      <c r="AE135" s="150">
        <v>0.62021948068702404</v>
      </c>
      <c r="AF135" s="150">
        <v>0.37978051931297602</v>
      </c>
      <c r="AG135" s="149">
        <f t="shared" si="21"/>
        <v>184863.8758562076</v>
      </c>
      <c r="AH135" s="149">
        <f t="shared" si="22"/>
        <v>113198.15155936443</v>
      </c>
      <c r="AI135" s="156" t="s">
        <v>96</v>
      </c>
      <c r="AJ135" s="11"/>
      <c r="AK135" s="12"/>
      <c r="AL135" s="17"/>
    </row>
    <row r="136" spans="1:38" x14ac:dyDescent="0.2">
      <c r="A136" s="153" t="s">
        <v>295</v>
      </c>
      <c r="B136" s="4"/>
      <c r="C136" s="5"/>
      <c r="D136" s="29">
        <v>8474.2729831144497</v>
      </c>
      <c r="E136" s="4" t="s">
        <v>90</v>
      </c>
      <c r="F136" s="4" t="s">
        <v>103</v>
      </c>
      <c r="G136" s="4">
        <v>2010.0339869962299</v>
      </c>
      <c r="H136" s="3" t="s">
        <v>150</v>
      </c>
      <c r="I136" s="13">
        <v>2010.9556589178701</v>
      </c>
      <c r="J136" s="13">
        <f t="shared" si="17"/>
        <v>8.044341082129904</v>
      </c>
      <c r="K136" s="13"/>
      <c r="L136" s="8">
        <v>38194</v>
      </c>
      <c r="M136" s="23">
        <v>1</v>
      </c>
      <c r="N136" s="16"/>
      <c r="O136" s="23">
        <v>-593.74706029522099</v>
      </c>
      <c r="P136" s="16"/>
      <c r="Q136" s="16"/>
      <c r="R136" s="16"/>
      <c r="S136" s="16"/>
      <c r="T136" s="16"/>
      <c r="U136" s="16"/>
      <c r="V136" s="49" t="s">
        <v>132</v>
      </c>
      <c r="W136" s="49"/>
      <c r="X136" s="13"/>
      <c r="Y136" s="138" t="s">
        <v>133</v>
      </c>
      <c r="Z136" s="138" t="s">
        <v>134</v>
      </c>
      <c r="AA136" s="138"/>
      <c r="AB136" s="138"/>
      <c r="AC136" s="149">
        <v>294251.80057504697</v>
      </c>
      <c r="AD136" s="149">
        <f t="shared" si="18"/>
        <v>9679316.1618198846</v>
      </c>
      <c r="AE136" s="150">
        <v>0.61866228268979995</v>
      </c>
      <c r="AF136" s="150">
        <v>0.3813377173102</v>
      </c>
      <c r="AG136" s="149">
        <f t="shared" si="21"/>
        <v>182042.49062934236</v>
      </c>
      <c r="AH136" s="149">
        <f t="shared" si="22"/>
        <v>112209.30994570462</v>
      </c>
      <c r="AI136" s="156" t="s">
        <v>96</v>
      </c>
      <c r="AJ136" s="11"/>
      <c r="AK136" s="12"/>
      <c r="AL136" s="17"/>
    </row>
    <row r="137" spans="1:38" x14ac:dyDescent="0.2">
      <c r="A137" s="153" t="s">
        <v>296</v>
      </c>
      <c r="B137" s="4"/>
      <c r="C137" s="5"/>
      <c r="D137" s="29">
        <v>8570.8155722326392</v>
      </c>
      <c r="E137" s="4" t="s">
        <v>90</v>
      </c>
      <c r="F137" s="4" t="s">
        <v>103</v>
      </c>
      <c r="G137" s="4">
        <v>2010.0947182275099</v>
      </c>
      <c r="H137" s="3" t="s">
        <v>152</v>
      </c>
      <c r="I137" s="13">
        <v>2011.02604550194</v>
      </c>
      <c r="J137" s="13">
        <f t="shared" si="17"/>
        <v>7.9739544980600385</v>
      </c>
      <c r="K137" s="13"/>
      <c r="L137" s="8">
        <v>38190</v>
      </c>
      <c r="M137" s="23">
        <v>1</v>
      </c>
      <c r="N137" s="16"/>
      <c r="O137" s="23">
        <v>-607.75744308231106</v>
      </c>
      <c r="P137" s="16"/>
      <c r="Q137" s="16"/>
      <c r="R137" s="16"/>
      <c r="S137" s="16"/>
      <c r="T137" s="16"/>
      <c r="U137" s="16"/>
      <c r="V137" s="49" t="s">
        <v>132</v>
      </c>
      <c r="W137" s="49"/>
      <c r="X137" s="13"/>
      <c r="Y137" s="138" t="s">
        <v>133</v>
      </c>
      <c r="Z137" s="138" t="s">
        <v>134</v>
      </c>
      <c r="AA137" s="138"/>
      <c r="AB137" s="138"/>
      <c r="AC137" s="149">
        <v>290441.57373452198</v>
      </c>
      <c r="AD137" s="149">
        <f t="shared" si="18"/>
        <v>9969757.7355544064</v>
      </c>
      <c r="AE137" s="150">
        <v>0.61710508469257497</v>
      </c>
      <c r="AF137" s="150">
        <v>0.38289491530742498</v>
      </c>
      <c r="AG137" s="149">
        <f t="shared" si="21"/>
        <v>179232.97195768694</v>
      </c>
      <c r="AH137" s="149">
        <f t="shared" si="22"/>
        <v>111208.60177683504</v>
      </c>
      <c r="AI137" s="156" t="s">
        <v>96</v>
      </c>
      <c r="AJ137" s="11"/>
      <c r="AK137" s="12"/>
      <c r="AL137" s="17"/>
    </row>
    <row r="138" spans="1:38" x14ac:dyDescent="0.2">
      <c r="A138" s="153" t="s">
        <v>297</v>
      </c>
      <c r="B138" s="4"/>
      <c r="C138" s="5"/>
      <c r="D138" s="29">
        <v>8667.3581613508395</v>
      </c>
      <c r="E138" s="4" t="s">
        <v>90</v>
      </c>
      <c r="F138" s="4" t="s">
        <v>103</v>
      </c>
      <c r="G138" s="4">
        <v>2010.1554494587899</v>
      </c>
      <c r="H138" s="3" t="s">
        <v>154</v>
      </c>
      <c r="I138" s="13">
        <v>2011.096432086</v>
      </c>
      <c r="J138" s="13">
        <f t="shared" si="17"/>
        <v>7.9035679139999502</v>
      </c>
      <c r="K138" s="13"/>
      <c r="L138" s="8">
        <v>38189</v>
      </c>
      <c r="M138" s="23">
        <v>1</v>
      </c>
      <c r="N138" s="16"/>
      <c r="O138" s="23">
        <v>-621.76782586940101</v>
      </c>
      <c r="P138" s="16"/>
      <c r="Q138" s="16"/>
      <c r="R138" s="16"/>
      <c r="S138" s="16"/>
      <c r="T138" s="16"/>
      <c r="U138" s="16"/>
      <c r="V138" s="49" t="s">
        <v>132</v>
      </c>
      <c r="W138" s="49"/>
      <c r="X138" s="13"/>
      <c r="Y138" s="138" t="s">
        <v>133</v>
      </c>
      <c r="Z138" s="138" t="s">
        <v>134</v>
      </c>
      <c r="AA138" s="138"/>
      <c r="AB138" s="138"/>
      <c r="AC138" s="149">
        <v>286631.346893996</v>
      </c>
      <c r="AD138" s="149">
        <f t="shared" si="18"/>
        <v>10256389.082448402</v>
      </c>
      <c r="AE138" s="150">
        <v>0.61554788669535099</v>
      </c>
      <c r="AF138" s="150">
        <v>0.38445211330464901</v>
      </c>
      <c r="AG138" s="149">
        <f t="shared" si="21"/>
        <v>176435.31984124129</v>
      </c>
      <c r="AH138" s="149">
        <f t="shared" si="22"/>
        <v>110196.02705275471</v>
      </c>
      <c r="AI138" s="139"/>
      <c r="AJ138" s="11"/>
      <c r="AK138" s="12"/>
      <c r="AL138" s="17"/>
    </row>
    <row r="139" spans="1:38" x14ac:dyDescent="0.2">
      <c r="A139" s="153" t="s">
        <v>298</v>
      </c>
      <c r="B139" s="4"/>
      <c r="C139" s="5"/>
      <c r="D139" s="30">
        <v>8763.9007504690398</v>
      </c>
      <c r="E139" s="4" t="s">
        <v>90</v>
      </c>
      <c r="F139" s="4" t="s">
        <v>103</v>
      </c>
      <c r="G139" s="4">
        <v>2010.2161806900699</v>
      </c>
      <c r="H139" s="3" t="s">
        <v>156</v>
      </c>
      <c r="I139" s="13">
        <v>2011.1668186700699</v>
      </c>
      <c r="J139" s="13">
        <f t="shared" si="17"/>
        <v>7.8331813299300848</v>
      </c>
      <c r="K139" s="13"/>
      <c r="L139" s="8">
        <v>38171</v>
      </c>
      <c r="M139" s="23">
        <v>1</v>
      </c>
      <c r="N139" s="16"/>
      <c r="O139" s="39" t="s">
        <v>157</v>
      </c>
      <c r="P139" s="16"/>
      <c r="Q139" s="16"/>
      <c r="R139" s="16"/>
      <c r="S139" s="16"/>
      <c r="T139" s="16"/>
      <c r="U139" s="16"/>
      <c r="V139" s="49" t="s">
        <v>132</v>
      </c>
      <c r="W139" s="49"/>
      <c r="X139" s="50"/>
      <c r="Y139" s="138" t="s">
        <v>299</v>
      </c>
      <c r="Z139" s="138" t="s">
        <v>134</v>
      </c>
      <c r="AA139" s="157" t="s">
        <v>274</v>
      </c>
      <c r="AB139" s="138"/>
      <c r="AC139" s="149">
        <v>282821.12005347101</v>
      </c>
      <c r="AD139" s="149">
        <f t="shared" si="18"/>
        <v>10539210.202501873</v>
      </c>
      <c r="AE139" s="150">
        <v>0.61399068869812601</v>
      </c>
      <c r="AF139" s="150">
        <v>0.38600931130187399</v>
      </c>
      <c r="AG139" s="149">
        <f t="shared" si="21"/>
        <v>173649.53428000605</v>
      </c>
      <c r="AH139" s="149">
        <f t="shared" si="22"/>
        <v>109171.58577346496</v>
      </c>
      <c r="AI139" s="139"/>
      <c r="AJ139" s="11"/>
      <c r="AK139" s="12"/>
      <c r="AL139" s="17"/>
    </row>
    <row r="140" spans="1:38" x14ac:dyDescent="0.2">
      <c r="A140" s="153" t="s">
        <v>300</v>
      </c>
      <c r="B140" s="4"/>
      <c r="C140" s="5"/>
      <c r="D140" s="29">
        <v>8860.4433395872402</v>
      </c>
      <c r="E140" s="4" t="s">
        <v>90</v>
      </c>
      <c r="F140" s="4" t="s">
        <v>103</v>
      </c>
      <c r="G140" s="4">
        <v>2010.2769119213499</v>
      </c>
      <c r="H140" s="3" t="s">
        <v>160</v>
      </c>
      <c r="I140" s="13">
        <v>2011.23720525414</v>
      </c>
      <c r="J140" s="13">
        <f t="shared" si="17"/>
        <v>7.762794745859992</v>
      </c>
      <c r="K140" s="13"/>
      <c r="L140" s="8">
        <v>38190</v>
      </c>
      <c r="M140" s="23">
        <v>1</v>
      </c>
      <c r="N140" s="16"/>
      <c r="O140" s="39" t="s">
        <v>157</v>
      </c>
      <c r="P140" s="16"/>
      <c r="Q140" s="16"/>
      <c r="R140" s="16"/>
      <c r="S140" s="16"/>
      <c r="T140" s="16"/>
      <c r="U140" s="16"/>
      <c r="V140" s="49" t="s">
        <v>132</v>
      </c>
      <c r="W140" s="49"/>
      <c r="X140" s="50"/>
      <c r="Y140" s="138" t="s">
        <v>301</v>
      </c>
      <c r="Z140" s="138" t="s">
        <v>134</v>
      </c>
      <c r="AA140" s="157"/>
      <c r="AB140" s="45" t="s">
        <v>162</v>
      </c>
      <c r="AC140" s="149">
        <v>279010.89321294503</v>
      </c>
      <c r="AD140" s="149">
        <f t="shared" si="18"/>
        <v>10818221.095714817</v>
      </c>
      <c r="AE140" s="150">
        <v>0.61243349070090203</v>
      </c>
      <c r="AF140" s="150">
        <v>0.38756650929909803</v>
      </c>
      <c r="AG140" s="149">
        <f t="shared" si="21"/>
        <v>170875.61527398054</v>
      </c>
      <c r="AH140" s="149">
        <f t="shared" si="22"/>
        <v>108135.27793896449</v>
      </c>
      <c r="AI140" s="139"/>
      <c r="AJ140" s="11"/>
      <c r="AK140" s="12"/>
      <c r="AL140" s="17"/>
    </row>
    <row r="141" spans="1:38" x14ac:dyDescent="0.2">
      <c r="A141" s="153" t="s">
        <v>302</v>
      </c>
      <c r="B141" s="4"/>
      <c r="C141" s="5"/>
      <c r="D141" s="29">
        <v>8956.9859287054405</v>
      </c>
      <c r="E141" s="4" t="s">
        <v>90</v>
      </c>
      <c r="F141" s="4" t="s">
        <v>103</v>
      </c>
      <c r="G141" s="4">
        <v>2010.3376431526201</v>
      </c>
      <c r="H141" s="3" t="s">
        <v>164</v>
      </c>
      <c r="I141" s="13">
        <v>2011.3075918382101</v>
      </c>
      <c r="J141" s="13">
        <f t="shared" si="17"/>
        <v>7.6924081617898992</v>
      </c>
      <c r="K141" s="13"/>
      <c r="L141" s="8">
        <v>38191</v>
      </c>
      <c r="M141" s="23">
        <v>1</v>
      </c>
      <c r="N141" s="16"/>
      <c r="O141" s="39" t="s">
        <v>157</v>
      </c>
      <c r="P141" s="16"/>
      <c r="Q141" s="16"/>
      <c r="R141" s="16"/>
      <c r="S141" s="16"/>
      <c r="T141" s="16"/>
      <c r="U141" s="16"/>
      <c r="V141" s="49" t="s">
        <v>132</v>
      </c>
      <c r="W141" s="49"/>
      <c r="X141" s="50"/>
      <c r="Y141" s="138" t="s">
        <v>303</v>
      </c>
      <c r="Z141" s="138" t="s">
        <v>134</v>
      </c>
      <c r="AA141" s="138"/>
      <c r="AB141" s="45" t="s">
        <v>166</v>
      </c>
      <c r="AC141" s="149">
        <v>275200.66637241998</v>
      </c>
      <c r="AD141" s="149">
        <f t="shared" si="18"/>
        <v>11093421.762087237</v>
      </c>
      <c r="AE141" s="150">
        <v>0.61087629270367705</v>
      </c>
      <c r="AF141" s="150">
        <v>0.38912370729632301</v>
      </c>
      <c r="AG141" s="149">
        <f t="shared" si="21"/>
        <v>168113.56282316541</v>
      </c>
      <c r="AH141" s="149">
        <f t="shared" si="22"/>
        <v>107087.10354925456</v>
      </c>
      <c r="AI141" s="139"/>
      <c r="AJ141" s="11"/>
      <c r="AK141" s="12"/>
      <c r="AL141" s="17"/>
    </row>
    <row r="142" spans="1:38" x14ac:dyDescent="0.2">
      <c r="A142" s="153" t="s">
        <v>304</v>
      </c>
      <c r="B142" s="4"/>
      <c r="C142" s="5"/>
      <c r="D142" s="29">
        <v>9053.5285178236409</v>
      </c>
      <c r="E142" s="4" t="s">
        <v>90</v>
      </c>
      <c r="F142" s="4" t="s">
        <v>168</v>
      </c>
      <c r="G142" s="4">
        <v>2010.3983743839001</v>
      </c>
      <c r="H142" s="3" t="s">
        <v>169</v>
      </c>
      <c r="I142" s="13">
        <v>2011.37797842227</v>
      </c>
      <c r="J142" s="13">
        <f t="shared" si="17"/>
        <v>7.6220215777300382</v>
      </c>
      <c r="K142" s="13"/>
      <c r="L142" s="24">
        <v>38827</v>
      </c>
      <c r="M142" s="23">
        <v>1</v>
      </c>
      <c r="N142" s="16"/>
      <c r="O142" s="39" t="s">
        <v>157</v>
      </c>
      <c r="P142" s="16"/>
      <c r="Q142" s="16"/>
      <c r="R142" s="16"/>
      <c r="S142" s="16"/>
      <c r="T142" s="16"/>
      <c r="U142" s="16"/>
      <c r="V142" s="49" t="s">
        <v>132</v>
      </c>
      <c r="W142" s="49"/>
      <c r="X142" s="50"/>
      <c r="Y142" s="86" t="s">
        <v>305</v>
      </c>
      <c r="Z142" s="138" t="s">
        <v>134</v>
      </c>
      <c r="AA142" s="138"/>
      <c r="AB142" s="45" t="s">
        <v>171</v>
      </c>
      <c r="AC142" s="149">
        <v>271390.43953189498</v>
      </c>
      <c r="AD142" s="149">
        <f t="shared" si="18"/>
        <v>11364812.201619131</v>
      </c>
      <c r="AE142" s="150">
        <v>0.60931909470645196</v>
      </c>
      <c r="AF142" s="150">
        <v>0.39068090529354699</v>
      </c>
      <c r="AG142" s="149">
        <f t="shared" si="21"/>
        <v>165363.37692756034</v>
      </c>
      <c r="AH142" s="149">
        <f t="shared" si="22"/>
        <v>106027.06260433464</v>
      </c>
      <c r="AI142" s="139"/>
      <c r="AJ142" s="11"/>
      <c r="AK142" s="12"/>
      <c r="AL142" s="17"/>
    </row>
    <row r="143" spans="1:38" x14ac:dyDescent="0.2">
      <c r="A143" s="153" t="s">
        <v>306</v>
      </c>
      <c r="B143" s="4"/>
      <c r="C143" s="5"/>
      <c r="D143" s="29">
        <v>9150.0711069418394</v>
      </c>
      <c r="E143" s="4" t="s">
        <v>90</v>
      </c>
      <c r="F143" s="4" t="s">
        <v>168</v>
      </c>
      <c r="G143" s="4">
        <v>2010.4591056151801</v>
      </c>
      <c r="H143" s="3" t="s">
        <v>307</v>
      </c>
      <c r="I143" s="13">
        <v>2011.4483650063401</v>
      </c>
      <c r="J143" s="13">
        <f t="shared" si="17"/>
        <v>7.5516349936599454</v>
      </c>
      <c r="K143" s="13"/>
      <c r="L143" s="24">
        <v>38945</v>
      </c>
      <c r="M143" s="23">
        <v>1</v>
      </c>
      <c r="N143" s="16"/>
      <c r="O143" s="39" t="s">
        <v>157</v>
      </c>
      <c r="P143" s="16"/>
      <c r="Q143" s="16"/>
      <c r="R143" s="16"/>
      <c r="S143" s="16"/>
      <c r="T143" s="16"/>
      <c r="U143" s="16"/>
      <c r="V143" s="49" t="s">
        <v>132</v>
      </c>
      <c r="W143" s="49"/>
      <c r="X143" s="50"/>
      <c r="Y143" s="138" t="s">
        <v>174</v>
      </c>
      <c r="Z143" s="138" t="s">
        <v>134</v>
      </c>
      <c r="AA143" s="138"/>
      <c r="AB143" s="85" t="s">
        <v>175</v>
      </c>
      <c r="AC143" s="149">
        <v>267580.21269136999</v>
      </c>
      <c r="AD143" s="149">
        <f t="shared" si="18"/>
        <v>11632392.414310502</v>
      </c>
      <c r="AE143" s="150">
        <v>0.60776189670922798</v>
      </c>
      <c r="AF143" s="150">
        <v>0.39223810329077202</v>
      </c>
      <c r="AG143" s="149">
        <f t="shared" si="21"/>
        <v>162625.05758716565</v>
      </c>
      <c r="AH143" s="139">
        <f t="shared" si="22"/>
        <v>104955.15510420434</v>
      </c>
      <c r="AI143" s="139"/>
      <c r="AJ143" s="26" t="s">
        <v>176</v>
      </c>
      <c r="AK143" s="27"/>
      <c r="AL143" s="25"/>
    </row>
    <row r="144" spans="1:38" x14ac:dyDescent="0.2">
      <c r="A144" s="153" t="s">
        <v>308</v>
      </c>
      <c r="B144" s="4"/>
      <c r="C144" s="5"/>
      <c r="D144" s="29">
        <v>9246.6136960600397</v>
      </c>
      <c r="E144" s="4" t="s">
        <v>90</v>
      </c>
      <c r="F144" s="4" t="s">
        <v>168</v>
      </c>
      <c r="G144" s="4">
        <v>2010.5198368464601</v>
      </c>
      <c r="H144" s="3" t="s">
        <v>178</v>
      </c>
      <c r="I144" s="13">
        <v>2011.5187515904099</v>
      </c>
      <c r="J144" s="13">
        <f t="shared" si="17"/>
        <v>7.48124840959008</v>
      </c>
      <c r="K144" s="13"/>
      <c r="L144" s="24">
        <v>38945</v>
      </c>
      <c r="M144" s="23">
        <v>1</v>
      </c>
      <c r="N144" s="16"/>
      <c r="O144" s="39" t="s">
        <v>157</v>
      </c>
      <c r="P144" s="16"/>
      <c r="Q144" s="16"/>
      <c r="R144" s="16"/>
      <c r="S144" s="16"/>
      <c r="T144" s="16"/>
      <c r="U144" s="16"/>
      <c r="V144" s="49" t="s">
        <v>132</v>
      </c>
      <c r="W144" s="49"/>
      <c r="X144" s="50"/>
      <c r="Y144" s="138" t="s">
        <v>174</v>
      </c>
      <c r="Z144" s="138" t="s">
        <v>134</v>
      </c>
      <c r="AA144" s="138"/>
      <c r="AB144" s="85" t="s">
        <v>179</v>
      </c>
      <c r="AC144" s="149">
        <v>263769.98585084401</v>
      </c>
      <c r="AD144" s="149">
        <f t="shared" si="18"/>
        <v>11896162.400161346</v>
      </c>
      <c r="AE144" s="150">
        <v>0.606204698712003</v>
      </c>
      <c r="AF144" s="150">
        <v>0.393795301287997</v>
      </c>
      <c r="AG144" s="149">
        <f t="shared" si="21"/>
        <v>159898.6048019802</v>
      </c>
      <c r="AH144" s="139">
        <f t="shared" si="22"/>
        <v>103871.38104886381</v>
      </c>
      <c r="AI144" s="139"/>
      <c r="AJ144" s="26" t="s">
        <v>176</v>
      </c>
      <c r="AK144" s="27"/>
      <c r="AL144" s="25"/>
    </row>
    <row r="145" spans="1:40" x14ac:dyDescent="0.2">
      <c r="A145" s="153" t="s">
        <v>309</v>
      </c>
      <c r="B145" s="4"/>
      <c r="C145" s="5"/>
      <c r="D145" s="29">
        <v>9343.1562851782401</v>
      </c>
      <c r="E145" s="4" t="s">
        <v>90</v>
      </c>
      <c r="F145" s="4" t="s">
        <v>168</v>
      </c>
      <c r="G145" s="4">
        <v>2010.5805680777401</v>
      </c>
      <c r="H145" s="3" t="s">
        <v>181</v>
      </c>
      <c r="I145" s="13">
        <v>2011.58913817447</v>
      </c>
      <c r="J145" s="13">
        <f t="shared" si="17"/>
        <v>7.4108618255299916</v>
      </c>
      <c r="K145" s="13"/>
      <c r="L145" s="24">
        <v>38945</v>
      </c>
      <c r="M145" s="23">
        <v>1</v>
      </c>
      <c r="N145" s="16"/>
      <c r="O145" s="23">
        <v>1</v>
      </c>
      <c r="P145" s="16"/>
      <c r="Q145" s="16"/>
      <c r="R145" s="16"/>
      <c r="S145" s="16"/>
      <c r="T145" s="16"/>
      <c r="U145" s="16"/>
      <c r="V145" s="49" t="s">
        <v>132</v>
      </c>
      <c r="W145" s="49"/>
      <c r="X145" s="50"/>
      <c r="Y145" s="138" t="s">
        <v>174</v>
      </c>
      <c r="Z145" s="138" t="s">
        <v>134</v>
      </c>
      <c r="AA145" s="138"/>
      <c r="AB145" s="85" t="s">
        <v>182</v>
      </c>
      <c r="AC145" s="149">
        <v>259959.75901031899</v>
      </c>
      <c r="AD145" s="149">
        <f t="shared" si="18"/>
        <v>12156122.159171665</v>
      </c>
      <c r="AE145" s="150">
        <v>0.60464750071477902</v>
      </c>
      <c r="AF145" s="150">
        <v>0.39535249928522098</v>
      </c>
      <c r="AG145" s="149">
        <f t="shared" si="21"/>
        <v>157184.01857200562</v>
      </c>
      <c r="AH145" s="139">
        <f t="shared" si="22"/>
        <v>102775.74043831337</v>
      </c>
      <c r="AI145" s="139"/>
      <c r="AJ145" s="26" t="s">
        <v>176</v>
      </c>
      <c r="AK145" s="27"/>
      <c r="AL145" s="25"/>
    </row>
    <row r="146" spans="1:40" x14ac:dyDescent="0.2">
      <c r="A146" s="153" t="s">
        <v>310</v>
      </c>
      <c r="B146" s="4"/>
      <c r="C146" s="5"/>
      <c r="D146" s="29">
        <v>9439.6988742964295</v>
      </c>
      <c r="E146" s="4" t="s">
        <v>90</v>
      </c>
      <c r="F146" s="4" t="s">
        <v>168</v>
      </c>
      <c r="G146" s="4">
        <v>2010.64129930902</v>
      </c>
      <c r="H146" s="3" t="s">
        <v>184</v>
      </c>
      <c r="I146" s="13">
        <v>2011.6595247585401</v>
      </c>
      <c r="J146" s="13">
        <f t="shared" si="17"/>
        <v>7.3404752414598988</v>
      </c>
      <c r="K146" s="13"/>
      <c r="L146" s="24">
        <v>38945</v>
      </c>
      <c r="M146" s="23">
        <v>1</v>
      </c>
      <c r="N146" s="16"/>
      <c r="O146" s="58">
        <v>1</v>
      </c>
      <c r="P146" s="16"/>
      <c r="Q146" s="16"/>
      <c r="R146" s="16"/>
      <c r="S146" s="16"/>
      <c r="T146" s="16"/>
      <c r="U146" s="16"/>
      <c r="V146" s="49" t="s">
        <v>132</v>
      </c>
      <c r="W146" s="49"/>
      <c r="X146" s="50"/>
      <c r="Y146" s="138" t="s">
        <v>174</v>
      </c>
      <c r="Z146" s="138" t="s">
        <v>134</v>
      </c>
      <c r="AA146" s="138">
        <v>110498.002439619</v>
      </c>
      <c r="AB146" s="85" t="s">
        <v>185</v>
      </c>
      <c r="AC146" s="149">
        <v>256149.53216979399</v>
      </c>
      <c r="AD146" s="149">
        <f t="shared" si="18"/>
        <v>12412271.69134146</v>
      </c>
      <c r="AE146" s="150">
        <v>0.60309030271755404</v>
      </c>
      <c r="AF146" s="150">
        <v>0.39690969728244602</v>
      </c>
      <c r="AG146" s="149">
        <f t="shared" si="21"/>
        <v>154481.29889724089</v>
      </c>
      <c r="AH146" s="139">
        <f t="shared" si="22"/>
        <v>101668.2332725531</v>
      </c>
      <c r="AI146" s="139"/>
      <c r="AJ146" s="26" t="s">
        <v>176</v>
      </c>
      <c r="AK146" s="27"/>
      <c r="AL146" s="25"/>
    </row>
    <row r="147" spans="1:40" x14ac:dyDescent="0.2">
      <c r="A147" s="153" t="s">
        <v>311</v>
      </c>
      <c r="B147" s="4"/>
      <c r="C147" s="5"/>
      <c r="D147" s="29">
        <v>9536.2414634146298</v>
      </c>
      <c r="E147" s="4" t="s">
        <v>90</v>
      </c>
      <c r="F147" s="4" t="s">
        <v>168</v>
      </c>
      <c r="G147" s="4">
        <v>2010.7020305403</v>
      </c>
      <c r="H147" s="3" t="s">
        <v>187</v>
      </c>
      <c r="I147" s="13">
        <v>2011.72991134261</v>
      </c>
      <c r="J147" s="13">
        <f t="shared" si="17"/>
        <v>7.2700886573900334</v>
      </c>
      <c r="K147" s="13"/>
      <c r="L147" s="24">
        <v>38945</v>
      </c>
      <c r="M147" s="23">
        <v>1</v>
      </c>
      <c r="N147" s="16"/>
      <c r="O147" s="58">
        <v>1</v>
      </c>
      <c r="P147" s="16"/>
      <c r="Q147" s="16"/>
      <c r="R147" s="16"/>
      <c r="S147" s="16"/>
      <c r="T147" s="16"/>
      <c r="U147" s="16"/>
      <c r="V147" s="49" t="s">
        <v>132</v>
      </c>
      <c r="W147" s="49"/>
      <c r="X147" s="50"/>
      <c r="Y147" s="138" t="s">
        <v>174</v>
      </c>
      <c r="Z147" s="138" t="s">
        <v>134</v>
      </c>
      <c r="AA147" s="158">
        <v>110682.293730178</v>
      </c>
      <c r="AB147" s="85" t="s">
        <v>188</v>
      </c>
      <c r="AC147" s="149">
        <v>252339.30532926801</v>
      </c>
      <c r="AD147" s="149">
        <f t="shared" si="18"/>
        <v>12664610.996670729</v>
      </c>
      <c r="AE147" s="150">
        <v>0.60153310472032995</v>
      </c>
      <c r="AF147" s="150">
        <v>0.39846689527967</v>
      </c>
      <c r="AG147" s="149">
        <f t="shared" si="21"/>
        <v>151790.44577768588</v>
      </c>
      <c r="AH147" s="139">
        <f t="shared" si="22"/>
        <v>100548.85955158214</v>
      </c>
      <c r="AI147" s="139"/>
      <c r="AJ147" s="26" t="s">
        <v>176</v>
      </c>
      <c r="AK147" s="27"/>
      <c r="AL147" s="25"/>
    </row>
    <row r="148" spans="1:40" x14ac:dyDescent="0.2">
      <c r="A148" s="153" t="s">
        <v>312</v>
      </c>
      <c r="B148" s="4"/>
      <c r="C148" s="5"/>
      <c r="D148" s="29">
        <v>9632.7840525328302</v>
      </c>
      <c r="E148" s="4" t="s">
        <v>90</v>
      </c>
      <c r="F148" s="4" t="s">
        <v>168</v>
      </c>
      <c r="G148" s="4">
        <v>2010.76276177158</v>
      </c>
      <c r="H148" s="3" t="s">
        <v>190</v>
      </c>
      <c r="I148" s="13">
        <v>2011.8002979266701</v>
      </c>
      <c r="J148" s="13">
        <f t="shared" si="17"/>
        <v>7.1997020733299451</v>
      </c>
      <c r="K148" s="13"/>
      <c r="L148" s="24">
        <v>38945</v>
      </c>
      <c r="M148" s="23">
        <v>1</v>
      </c>
      <c r="N148" s="16"/>
      <c r="O148" s="58">
        <v>1</v>
      </c>
      <c r="P148" s="16"/>
      <c r="Q148" s="16"/>
      <c r="R148" s="16"/>
      <c r="S148" s="16"/>
      <c r="T148" s="16"/>
      <c r="U148" s="16"/>
      <c r="V148" s="49" t="s">
        <v>132</v>
      </c>
      <c r="W148" s="49"/>
      <c r="X148" s="50"/>
      <c r="Y148" s="138" t="s">
        <v>174</v>
      </c>
      <c r="Z148" s="138" t="s">
        <v>134</v>
      </c>
      <c r="AA148" s="14">
        <v>110866.58502073699</v>
      </c>
      <c r="AB148" s="85" t="s">
        <v>191</v>
      </c>
      <c r="AC148" s="149">
        <v>248529.07848874299</v>
      </c>
      <c r="AD148" s="149">
        <f t="shared" si="18"/>
        <v>12913140.075159471</v>
      </c>
      <c r="AE148" s="150">
        <v>0.59997590672310497</v>
      </c>
      <c r="AF148" s="150">
        <v>0.40002409327689498</v>
      </c>
      <c r="AG148" s="149">
        <f t="shared" si="21"/>
        <v>149111.4592133413</v>
      </c>
      <c r="AH148" s="139">
        <f t="shared" si="22"/>
        <v>99417.619275401696</v>
      </c>
      <c r="AI148" s="139"/>
      <c r="AJ148" s="26" t="s">
        <v>176</v>
      </c>
      <c r="AK148" s="27"/>
      <c r="AL148" s="25"/>
      <c r="AN148" s="92">
        <f>SUM(AH143:AH148)</f>
        <v>613236.98869091843</v>
      </c>
    </row>
    <row r="149" spans="1:40" x14ac:dyDescent="0.2">
      <c r="A149" s="4"/>
      <c r="B149" s="4"/>
      <c r="C149" s="5"/>
      <c r="D149" s="53"/>
      <c r="E149" s="21"/>
      <c r="F149" s="21"/>
      <c r="G149" s="21">
        <v>2010.82349300286</v>
      </c>
      <c r="H149" s="22"/>
      <c r="I149" s="13">
        <v>2011.8706845107399</v>
      </c>
      <c r="J149" s="13"/>
      <c r="K149" s="13"/>
      <c r="L149" s="8"/>
      <c r="M149" s="16"/>
      <c r="N149" s="16"/>
      <c r="O149" s="16"/>
      <c r="P149" s="16"/>
      <c r="Q149" s="16"/>
      <c r="R149" s="16"/>
      <c r="S149" s="16"/>
      <c r="T149" s="16"/>
      <c r="U149" s="16"/>
      <c r="V149" s="49"/>
      <c r="W149" s="49"/>
      <c r="X149" s="50"/>
      <c r="Y149" s="159"/>
      <c r="Z149" s="159"/>
      <c r="AA149" s="159">
        <v>111050.876311295</v>
      </c>
      <c r="AB149" s="73" t="s">
        <v>192</v>
      </c>
      <c r="AC149" s="160">
        <f>SUM(AC109:AC148)</f>
        <v>12913140.075159471</v>
      </c>
      <c r="AD149" s="160"/>
      <c r="AE149" s="161">
        <v>0.59841870872587999</v>
      </c>
      <c r="AF149" s="161">
        <v>0.40158129127411901</v>
      </c>
      <c r="AG149" s="160">
        <f>SUM(AG109:AG148)</f>
        <v>8504755.475725377</v>
      </c>
      <c r="AH149" s="160">
        <f>SUM(AH109:AH148)</f>
        <v>4408384.5994340945</v>
      </c>
      <c r="AI149" s="160"/>
      <c r="AJ149" s="11"/>
      <c r="AK149" s="12"/>
      <c r="AL149" s="17"/>
      <c r="AN149" s="126"/>
    </row>
    <row r="150" spans="1:40" x14ac:dyDescent="0.2">
      <c r="A150" s="83" t="s">
        <v>28</v>
      </c>
      <c r="B150" s="4"/>
      <c r="C150" s="5"/>
      <c r="D150" s="28" t="s">
        <v>313</v>
      </c>
      <c r="E150" s="21"/>
      <c r="F150" s="21"/>
      <c r="G150" s="21">
        <v>2010.88422423414</v>
      </c>
      <c r="H150" s="22"/>
      <c r="I150" s="13">
        <v>2011.94107109481</v>
      </c>
      <c r="J150" s="13"/>
      <c r="K150" s="13"/>
      <c r="L150" s="8"/>
      <c r="M150" s="16"/>
      <c r="N150" s="16"/>
      <c r="O150" s="16"/>
      <c r="P150" s="16"/>
      <c r="Q150" s="16"/>
      <c r="R150" s="16"/>
      <c r="S150" s="16"/>
      <c r="T150" s="16"/>
      <c r="U150" s="16"/>
      <c r="V150" s="49"/>
      <c r="W150" s="49"/>
      <c r="X150" s="50"/>
      <c r="Y150" s="159"/>
      <c r="Z150" s="159"/>
      <c r="AA150" s="159">
        <v>111235.167601854</v>
      </c>
      <c r="AB150" s="159"/>
      <c r="AC150" s="160"/>
      <c r="AD150" s="160"/>
      <c r="AE150" s="161">
        <v>0.59686151072865601</v>
      </c>
      <c r="AF150" s="161">
        <v>0.40313848927134399</v>
      </c>
      <c r="AG150" s="160"/>
      <c r="AH150" s="160"/>
      <c r="AI150" s="160"/>
      <c r="AJ150" s="11"/>
      <c r="AK150" s="12"/>
      <c r="AL150" s="17"/>
    </row>
    <row r="151" spans="1:40" x14ac:dyDescent="0.2">
      <c r="A151" s="125" t="s">
        <v>130</v>
      </c>
      <c r="B151" s="4"/>
      <c r="C151" s="5"/>
      <c r="D151" s="29">
        <v>6027.4736842105303</v>
      </c>
      <c r="E151" s="4" t="s">
        <v>90</v>
      </c>
      <c r="F151" s="4" t="s">
        <v>168</v>
      </c>
      <c r="G151" s="4">
        <v>2010.94495546541</v>
      </c>
      <c r="H151" s="3" t="s">
        <v>194</v>
      </c>
      <c r="I151" s="13">
        <v>2012.0114576788701</v>
      </c>
      <c r="J151" s="13">
        <f>2020-I151</f>
        <v>7.9885423211298985</v>
      </c>
      <c r="K151" s="13"/>
      <c r="L151" s="24">
        <v>38945</v>
      </c>
      <c r="M151" s="23">
        <v>1</v>
      </c>
      <c r="N151" s="16"/>
      <c r="O151" s="16"/>
      <c r="P151" s="23">
        <v>1</v>
      </c>
      <c r="Q151" s="16"/>
      <c r="R151" s="16"/>
      <c r="S151" s="16"/>
      <c r="T151" s="16"/>
      <c r="U151" s="16"/>
      <c r="V151" s="49"/>
      <c r="W151" s="49"/>
      <c r="X151" s="50"/>
      <c r="Y151" s="162" t="s">
        <v>195</v>
      </c>
      <c r="Z151" s="144"/>
      <c r="AA151" s="138">
        <v>111419.45889241299</v>
      </c>
      <c r="AB151" s="138"/>
      <c r="AC151" s="149">
        <v>505149</v>
      </c>
      <c r="AD151" s="149">
        <f t="shared" ref="AD151:AD161" si="23">AD150+AC151</f>
        <v>505149</v>
      </c>
      <c r="AE151" s="150">
        <v>0.59530431273143103</v>
      </c>
      <c r="AF151" s="150">
        <v>0.40469568726856903</v>
      </c>
      <c r="AG151" s="149">
        <f t="shared" ref="AG151:AG169" si="24">AE151*AC151</f>
        <v>300717.37827196968</v>
      </c>
      <c r="AH151" s="139">
        <f t="shared" ref="AH151:AH169" si="25">AC151-AG151</f>
        <v>204431.62172803032</v>
      </c>
      <c r="AI151" s="160"/>
      <c r="AJ151" s="11"/>
      <c r="AK151" s="12"/>
      <c r="AL151" s="17"/>
    </row>
    <row r="152" spans="1:40" x14ac:dyDescent="0.2">
      <c r="A152" s="125" t="s">
        <v>135</v>
      </c>
      <c r="B152" s="4"/>
      <c r="C152" s="5"/>
      <c r="D152" s="29">
        <v>6028.5789473684199</v>
      </c>
      <c r="E152" s="4" t="s">
        <v>90</v>
      </c>
      <c r="F152" s="4" t="s">
        <v>168</v>
      </c>
      <c r="G152" s="4">
        <v>2011.00568669669</v>
      </c>
      <c r="H152" s="3" t="s">
        <v>196</v>
      </c>
      <c r="I152" s="13">
        <v>2012.08184426294</v>
      </c>
      <c r="J152" s="13">
        <f t="shared" ref="J152:J169" si="26">2020-I152</f>
        <v>7.9181557370600331</v>
      </c>
      <c r="K152" s="13"/>
      <c r="L152" s="24">
        <v>38945</v>
      </c>
      <c r="M152" s="23">
        <v>1</v>
      </c>
      <c r="N152" s="16"/>
      <c r="O152" s="16"/>
      <c r="P152" s="23">
        <v>1</v>
      </c>
      <c r="Q152" s="16"/>
      <c r="R152" s="16"/>
      <c r="S152" s="16"/>
      <c r="T152" s="16"/>
      <c r="U152" s="16"/>
      <c r="V152" s="49"/>
      <c r="W152" s="49"/>
      <c r="X152" s="50"/>
      <c r="Y152" s="162" t="s">
        <v>195</v>
      </c>
      <c r="Z152" s="144"/>
      <c r="AA152" s="144">
        <v>111603.75018297099</v>
      </c>
      <c r="AB152" s="144"/>
      <c r="AC152" s="149">
        <v>505149</v>
      </c>
      <c r="AD152" s="149">
        <f t="shared" si="23"/>
        <v>1010298</v>
      </c>
      <c r="AE152" s="150">
        <v>0.59374711473420705</v>
      </c>
      <c r="AF152" s="150">
        <v>0.40625288526579301</v>
      </c>
      <c r="AG152" s="149">
        <f t="shared" si="24"/>
        <v>299930.76126086997</v>
      </c>
      <c r="AH152" s="139">
        <f t="shared" si="25"/>
        <v>205218.23873913003</v>
      </c>
      <c r="AI152" s="160"/>
      <c r="AJ152" s="11"/>
      <c r="AK152" s="12"/>
      <c r="AL152" s="17"/>
    </row>
    <row r="153" spans="1:40" x14ac:dyDescent="0.2">
      <c r="A153" s="125" t="s">
        <v>137</v>
      </c>
      <c r="B153" s="4"/>
      <c r="C153" s="5"/>
      <c r="D153" s="29">
        <v>6029.6842105263204</v>
      </c>
      <c r="E153" s="4" t="s">
        <v>90</v>
      </c>
      <c r="F153" s="4" t="s">
        <v>168</v>
      </c>
      <c r="G153" s="4">
        <v>2011.06641792797</v>
      </c>
      <c r="H153" s="3" t="s">
        <v>197</v>
      </c>
      <c r="I153" s="13">
        <v>2012.1522308470101</v>
      </c>
      <c r="J153" s="13">
        <f t="shared" si="26"/>
        <v>7.8477691529899403</v>
      </c>
      <c r="K153" s="13"/>
      <c r="L153" s="24">
        <v>38945</v>
      </c>
      <c r="M153" s="23">
        <v>1</v>
      </c>
      <c r="N153" s="16"/>
      <c r="O153" s="16"/>
      <c r="P153" s="23">
        <v>1</v>
      </c>
      <c r="Q153" s="16"/>
      <c r="R153" s="16"/>
      <c r="S153" s="16"/>
      <c r="T153" s="16"/>
      <c r="U153" s="16"/>
      <c r="V153" s="49"/>
      <c r="W153" s="49"/>
      <c r="X153" s="50"/>
      <c r="Y153" s="162" t="s">
        <v>195</v>
      </c>
      <c r="Z153" s="144"/>
      <c r="AA153" s="144">
        <v>111788.04147353</v>
      </c>
      <c r="AB153" s="144"/>
      <c r="AC153" s="149">
        <v>505149</v>
      </c>
      <c r="AD153" s="149">
        <f t="shared" si="23"/>
        <v>1515447</v>
      </c>
      <c r="AE153" s="150">
        <v>0.59218991673698196</v>
      </c>
      <c r="AF153" s="150">
        <v>0.40781008326301799</v>
      </c>
      <c r="AG153" s="149">
        <f t="shared" si="24"/>
        <v>299144.14424976968</v>
      </c>
      <c r="AH153" s="139">
        <f t="shared" si="25"/>
        <v>206004.85575023032</v>
      </c>
      <c r="AI153" s="160"/>
      <c r="AJ153" s="11"/>
      <c r="AK153" s="12"/>
      <c r="AL153" s="17"/>
    </row>
    <row r="154" spans="1:40" x14ac:dyDescent="0.2">
      <c r="A154" s="125" t="s">
        <v>139</v>
      </c>
      <c r="B154" s="4"/>
      <c r="C154" s="5"/>
      <c r="D154" s="29">
        <v>6030.78947368421</v>
      </c>
      <c r="E154" s="4" t="s">
        <v>90</v>
      </c>
      <c r="F154" s="4" t="s">
        <v>168</v>
      </c>
      <c r="G154" s="4">
        <v>2011.1271491592499</v>
      </c>
      <c r="H154" s="3" t="s">
        <v>198</v>
      </c>
      <c r="I154" s="13">
        <v>2012.2226174310699</v>
      </c>
      <c r="J154" s="13">
        <f t="shared" si="26"/>
        <v>7.7773825689300793</v>
      </c>
      <c r="K154" s="13"/>
      <c r="L154" s="24">
        <v>38945</v>
      </c>
      <c r="M154" s="23">
        <v>1</v>
      </c>
      <c r="N154" s="16"/>
      <c r="O154" s="16"/>
      <c r="P154" s="23">
        <v>1</v>
      </c>
      <c r="Q154" s="16"/>
      <c r="R154" s="16"/>
      <c r="S154" s="16"/>
      <c r="T154" s="16"/>
      <c r="U154" s="16"/>
      <c r="V154" s="49"/>
      <c r="W154" s="49"/>
      <c r="X154" s="50"/>
      <c r="Y154" s="162" t="s">
        <v>195</v>
      </c>
      <c r="Z154" s="144"/>
      <c r="AA154" s="144">
        <v>111972.33276408901</v>
      </c>
      <c r="AB154" s="144"/>
      <c r="AC154" s="149">
        <v>505149</v>
      </c>
      <c r="AD154" s="149">
        <f t="shared" si="23"/>
        <v>2020596</v>
      </c>
      <c r="AE154" s="150">
        <v>0.59063271873975798</v>
      </c>
      <c r="AF154" s="150">
        <v>0.40936728126024202</v>
      </c>
      <c r="AG154" s="149">
        <f t="shared" si="24"/>
        <v>298357.52723866998</v>
      </c>
      <c r="AH154" s="139">
        <f t="shared" si="25"/>
        <v>206791.47276133002</v>
      </c>
      <c r="AI154" s="160"/>
      <c r="AJ154" s="11"/>
      <c r="AK154" s="12"/>
      <c r="AL154" s="17"/>
    </row>
    <row r="155" spans="1:40" x14ac:dyDescent="0.2">
      <c r="A155" s="125" t="s">
        <v>141</v>
      </c>
      <c r="B155" s="4"/>
      <c r="C155" s="5"/>
      <c r="D155" s="29">
        <v>6031.8947368421104</v>
      </c>
      <c r="E155" s="4" t="s">
        <v>90</v>
      </c>
      <c r="F155" s="4" t="s">
        <v>168</v>
      </c>
      <c r="G155" s="4">
        <v>2011.1878803905299</v>
      </c>
      <c r="H155" s="3" t="s">
        <v>199</v>
      </c>
      <c r="I155" s="13">
        <v>2012.29300401514</v>
      </c>
      <c r="J155" s="13">
        <f t="shared" si="26"/>
        <v>7.7069959848599865</v>
      </c>
      <c r="K155" s="13"/>
      <c r="L155" s="24">
        <v>38945</v>
      </c>
      <c r="M155" s="23">
        <v>1</v>
      </c>
      <c r="N155" s="16"/>
      <c r="O155" s="16"/>
      <c r="P155" s="23">
        <v>1</v>
      </c>
      <c r="Q155" s="16"/>
      <c r="R155" s="16"/>
      <c r="S155" s="16"/>
      <c r="T155" s="16"/>
      <c r="U155" s="16"/>
      <c r="V155" s="49"/>
      <c r="W155" s="49"/>
      <c r="X155" s="50"/>
      <c r="Y155" s="162" t="s">
        <v>195</v>
      </c>
      <c r="Z155" s="144"/>
      <c r="AA155" s="144">
        <v>112156.62405464701</v>
      </c>
      <c r="AB155" s="144"/>
      <c r="AC155" s="149">
        <v>505149</v>
      </c>
      <c r="AD155" s="149">
        <f t="shared" si="23"/>
        <v>2525745</v>
      </c>
      <c r="AE155" s="150">
        <v>0.589075520742533</v>
      </c>
      <c r="AF155" s="150">
        <v>0.410924479257467</v>
      </c>
      <c r="AG155" s="149">
        <f t="shared" si="24"/>
        <v>297570.91022756981</v>
      </c>
      <c r="AH155" s="139">
        <f t="shared" si="25"/>
        <v>207578.08977243019</v>
      </c>
      <c r="AI155" s="160"/>
      <c r="AJ155" s="11"/>
      <c r="AK155" s="12"/>
      <c r="AL155" s="17"/>
    </row>
    <row r="156" spans="1:40" x14ac:dyDescent="0.2">
      <c r="A156" s="125" t="s">
        <v>143</v>
      </c>
      <c r="B156" s="4"/>
      <c r="C156" s="5"/>
      <c r="D156" s="29">
        <v>6033</v>
      </c>
      <c r="E156" s="4" t="s">
        <v>90</v>
      </c>
      <c r="F156" s="4" t="s">
        <v>168</v>
      </c>
      <c r="G156" s="4">
        <v>2011.2486116218099</v>
      </c>
      <c r="H156" s="3" t="s">
        <v>200</v>
      </c>
      <c r="I156" s="13">
        <v>2012.3633905992101</v>
      </c>
      <c r="J156" s="13">
        <f t="shared" si="26"/>
        <v>7.6366094007898937</v>
      </c>
      <c r="K156" s="13"/>
      <c r="L156" s="24">
        <v>38945</v>
      </c>
      <c r="M156" s="23">
        <v>1</v>
      </c>
      <c r="N156" s="16"/>
      <c r="O156" s="16"/>
      <c r="P156" s="23">
        <v>1</v>
      </c>
      <c r="Q156" s="16"/>
      <c r="R156" s="16"/>
      <c r="S156" s="16"/>
      <c r="T156" s="16"/>
      <c r="U156" s="16"/>
      <c r="V156" s="49"/>
      <c r="W156" s="49"/>
      <c r="X156" s="50"/>
      <c r="Y156" s="162" t="s">
        <v>195</v>
      </c>
      <c r="Z156" s="144"/>
      <c r="AA156" s="144">
        <v>112340.915345206</v>
      </c>
      <c r="AB156" s="144"/>
      <c r="AC156" s="149">
        <v>505149</v>
      </c>
      <c r="AD156" s="149">
        <f t="shared" si="23"/>
        <v>3030894</v>
      </c>
      <c r="AE156" s="150">
        <v>0.58751832274530802</v>
      </c>
      <c r="AF156" s="150">
        <v>0.41248167725469098</v>
      </c>
      <c r="AG156" s="149">
        <f t="shared" si="24"/>
        <v>296784.29321646958</v>
      </c>
      <c r="AH156" s="139">
        <f t="shared" si="25"/>
        <v>208364.70678353042</v>
      </c>
      <c r="AI156" s="160"/>
      <c r="AJ156" s="11"/>
      <c r="AK156" s="12"/>
      <c r="AL156" s="17"/>
    </row>
    <row r="157" spans="1:40" x14ac:dyDescent="0.2">
      <c r="A157" s="125" t="s">
        <v>145</v>
      </c>
      <c r="B157" s="4"/>
      <c r="C157" s="5"/>
      <c r="D157" s="29">
        <v>6034.1052631578996</v>
      </c>
      <c r="E157" s="4" t="s">
        <v>90</v>
      </c>
      <c r="F157" s="4" t="s">
        <v>168</v>
      </c>
      <c r="G157" s="4">
        <v>2011.3093428530899</v>
      </c>
      <c r="H157" s="3" t="s">
        <v>201</v>
      </c>
      <c r="I157" s="13">
        <v>2012.43377718328</v>
      </c>
      <c r="J157" s="13">
        <f t="shared" si="26"/>
        <v>7.5662228167200283</v>
      </c>
      <c r="K157" s="13"/>
      <c r="L157" s="24">
        <v>38945</v>
      </c>
      <c r="M157" s="23">
        <v>1</v>
      </c>
      <c r="N157" s="16"/>
      <c r="O157" s="16"/>
      <c r="P157" s="23">
        <v>1</v>
      </c>
      <c r="Q157" s="16"/>
      <c r="R157" s="16"/>
      <c r="S157" s="16"/>
      <c r="T157" s="16"/>
      <c r="U157" s="16"/>
      <c r="V157" s="49"/>
      <c r="W157" s="49"/>
      <c r="X157" s="50"/>
      <c r="Y157" s="162" t="s">
        <v>195</v>
      </c>
      <c r="Z157" s="144"/>
      <c r="AA157" s="144">
        <v>112525.206635765</v>
      </c>
      <c r="AB157" s="144"/>
      <c r="AC157" s="149">
        <v>505149</v>
      </c>
      <c r="AD157" s="149">
        <f t="shared" si="23"/>
        <v>3536043</v>
      </c>
      <c r="AE157" s="150">
        <v>0.58596112474808404</v>
      </c>
      <c r="AF157" s="150">
        <v>0.41403887525191602</v>
      </c>
      <c r="AG157" s="149">
        <f t="shared" si="24"/>
        <v>295997.67620536988</v>
      </c>
      <c r="AH157" s="139">
        <f t="shared" si="25"/>
        <v>209151.32379463012</v>
      </c>
      <c r="AI157" s="160"/>
      <c r="AJ157" s="11"/>
      <c r="AK157" s="12"/>
      <c r="AL157" s="17"/>
    </row>
    <row r="158" spans="1:40" x14ac:dyDescent="0.2">
      <c r="A158" s="125" t="s">
        <v>147</v>
      </c>
      <c r="B158" s="4"/>
      <c r="C158" s="5"/>
      <c r="D158" s="29">
        <v>6035.21052631579</v>
      </c>
      <c r="E158" s="4" t="s">
        <v>90</v>
      </c>
      <c r="F158" s="4" t="s">
        <v>168</v>
      </c>
      <c r="G158" s="4">
        <v>2011.3700740843699</v>
      </c>
      <c r="H158" s="3" t="s">
        <v>314</v>
      </c>
      <c r="I158" s="13">
        <v>2012.5041637673401</v>
      </c>
      <c r="J158" s="13">
        <f t="shared" si="26"/>
        <v>7.4958362326599399</v>
      </c>
      <c r="K158" s="13"/>
      <c r="L158" s="24">
        <v>38945</v>
      </c>
      <c r="M158" s="23">
        <v>1</v>
      </c>
      <c r="N158" s="16"/>
      <c r="O158" s="16"/>
      <c r="P158" s="23">
        <v>1</v>
      </c>
      <c r="Q158" s="16"/>
      <c r="R158" s="16"/>
      <c r="S158" s="16"/>
      <c r="T158" s="16"/>
      <c r="U158" s="16"/>
      <c r="V158" s="49"/>
      <c r="W158" s="49"/>
      <c r="X158" s="50"/>
      <c r="Y158" s="162" t="s">
        <v>195</v>
      </c>
      <c r="Z158" s="144"/>
      <c r="AA158" s="144">
        <v>112709.49792632399</v>
      </c>
      <c r="AB158" s="144"/>
      <c r="AC158" s="149">
        <v>505149</v>
      </c>
      <c r="AD158" s="149">
        <f t="shared" si="23"/>
        <v>4041192</v>
      </c>
      <c r="AE158" s="150">
        <v>0.58440392675085895</v>
      </c>
      <c r="AF158" s="150">
        <v>0.415596073249141</v>
      </c>
      <c r="AG158" s="149">
        <f t="shared" si="24"/>
        <v>295211.05919426965</v>
      </c>
      <c r="AH158" s="139">
        <f t="shared" si="25"/>
        <v>209937.94080573035</v>
      </c>
      <c r="AI158" s="160"/>
      <c r="AJ158" s="11"/>
      <c r="AK158" s="12"/>
      <c r="AL158" s="17"/>
    </row>
    <row r="159" spans="1:40" x14ac:dyDescent="0.2">
      <c r="A159" s="125" t="s">
        <v>149</v>
      </c>
      <c r="B159" s="4"/>
      <c r="C159" s="5"/>
      <c r="D159" s="29">
        <v>6036.3157894736796</v>
      </c>
      <c r="E159" s="4" t="s">
        <v>90</v>
      </c>
      <c r="F159" s="4" t="s">
        <v>168</v>
      </c>
      <c r="G159" s="4">
        <v>2011.4308053156501</v>
      </c>
      <c r="H159" s="3" t="s">
        <v>203</v>
      </c>
      <c r="I159" s="13">
        <v>2012.5745503514099</v>
      </c>
      <c r="J159" s="13">
        <f t="shared" si="26"/>
        <v>7.4254496485900745</v>
      </c>
      <c r="K159" s="13"/>
      <c r="L159" s="24">
        <v>38945</v>
      </c>
      <c r="M159" s="23">
        <v>1</v>
      </c>
      <c r="N159" s="16"/>
      <c r="O159" s="16"/>
      <c r="P159" s="23">
        <v>1</v>
      </c>
      <c r="Q159" s="16"/>
      <c r="R159" s="16"/>
      <c r="S159" s="16"/>
      <c r="T159" s="16"/>
      <c r="U159" s="16"/>
      <c r="V159" s="49"/>
      <c r="W159" s="49"/>
      <c r="X159" s="50"/>
      <c r="Y159" s="162" t="s">
        <v>195</v>
      </c>
      <c r="Z159" s="144"/>
      <c r="AA159" s="144">
        <v>112893.789216882</v>
      </c>
      <c r="AB159" s="144"/>
      <c r="AC159" s="149">
        <v>505149</v>
      </c>
      <c r="AD159" s="149">
        <f t="shared" si="23"/>
        <v>4546341</v>
      </c>
      <c r="AE159" s="150">
        <v>0.58284672875363497</v>
      </c>
      <c r="AF159" s="150">
        <v>0.41715327124636498</v>
      </c>
      <c r="AG159" s="149">
        <f t="shared" si="24"/>
        <v>294424.44218316994</v>
      </c>
      <c r="AH159" s="139">
        <f t="shared" si="25"/>
        <v>210724.55781683006</v>
      </c>
      <c r="AI159" s="160"/>
      <c r="AJ159" s="11"/>
      <c r="AK159" s="12"/>
      <c r="AL159" s="17"/>
    </row>
    <row r="160" spans="1:40" x14ac:dyDescent="0.2">
      <c r="A160" s="125" t="s">
        <v>151</v>
      </c>
      <c r="B160" s="4"/>
      <c r="C160" s="5"/>
      <c r="D160" s="29">
        <v>6037.4210526315801</v>
      </c>
      <c r="E160" s="4" t="s">
        <v>90</v>
      </c>
      <c r="F160" s="4" t="s">
        <v>168</v>
      </c>
      <c r="G160" s="4">
        <v>2011.4915365469301</v>
      </c>
      <c r="H160" s="3" t="s">
        <v>204</v>
      </c>
      <c r="I160" s="13">
        <v>2012.64493693548</v>
      </c>
      <c r="J160" s="13">
        <f t="shared" si="26"/>
        <v>7.3550630645199817</v>
      </c>
      <c r="K160" s="13"/>
      <c r="L160" s="24">
        <v>38945</v>
      </c>
      <c r="M160" s="23">
        <v>1</v>
      </c>
      <c r="N160" s="16"/>
      <c r="O160" s="16"/>
      <c r="P160" s="23">
        <v>1</v>
      </c>
      <c r="Q160" s="16"/>
      <c r="R160" s="16"/>
      <c r="S160" s="16"/>
      <c r="T160" s="16"/>
      <c r="U160" s="16"/>
      <c r="V160" s="49"/>
      <c r="W160" s="49"/>
      <c r="X160" s="50"/>
      <c r="Y160" s="162" t="s">
        <v>195</v>
      </c>
      <c r="Z160" s="144"/>
      <c r="AA160" s="144">
        <v>113078.080507441</v>
      </c>
      <c r="AB160" s="144"/>
      <c r="AC160" s="149">
        <v>505149</v>
      </c>
      <c r="AD160" s="149">
        <f t="shared" si="23"/>
        <v>5051490</v>
      </c>
      <c r="AE160" s="150">
        <v>0.58128953075640999</v>
      </c>
      <c r="AF160" s="150">
        <v>0.41871046924359001</v>
      </c>
      <c r="AG160" s="149">
        <f t="shared" si="24"/>
        <v>293637.82517206977</v>
      </c>
      <c r="AH160" s="139">
        <f t="shared" si="25"/>
        <v>211511.17482793023</v>
      </c>
      <c r="AI160" s="160"/>
      <c r="AJ160" s="11"/>
      <c r="AK160" s="12"/>
      <c r="AL160" s="17"/>
    </row>
    <row r="161" spans="1:38" x14ac:dyDescent="0.2">
      <c r="A161" s="125" t="s">
        <v>153</v>
      </c>
      <c r="B161" s="4"/>
      <c r="C161" s="5"/>
      <c r="D161" s="29">
        <v>6038.5263157894697</v>
      </c>
      <c r="E161" s="4" t="s">
        <v>90</v>
      </c>
      <c r="F161" s="4" t="s">
        <v>168</v>
      </c>
      <c r="G161" s="4">
        <v>2011.5522677782101</v>
      </c>
      <c r="H161" s="3" t="s">
        <v>315</v>
      </c>
      <c r="I161" s="13">
        <v>2012.7153235195401</v>
      </c>
      <c r="J161" s="13">
        <f t="shared" si="26"/>
        <v>7.2846764804598934</v>
      </c>
      <c r="K161" s="13"/>
      <c r="L161" s="24">
        <v>38945</v>
      </c>
      <c r="M161" s="23">
        <v>1</v>
      </c>
      <c r="N161" s="16"/>
      <c r="O161" s="16"/>
      <c r="P161" s="23">
        <v>1</v>
      </c>
      <c r="Q161" s="16"/>
      <c r="R161" s="16"/>
      <c r="S161" s="16"/>
      <c r="T161" s="16"/>
      <c r="U161" s="16"/>
      <c r="V161" s="49"/>
      <c r="W161" s="49"/>
      <c r="X161" s="50"/>
      <c r="Y161" s="162" t="s">
        <v>195</v>
      </c>
      <c r="Z161" s="71"/>
      <c r="AA161" s="154">
        <v>113262.371797999</v>
      </c>
      <c r="AB161" s="154"/>
      <c r="AC161" s="149">
        <v>505149</v>
      </c>
      <c r="AD161" s="149">
        <f t="shared" si="23"/>
        <v>5556639</v>
      </c>
      <c r="AE161" s="150">
        <v>0.57973233275918601</v>
      </c>
      <c r="AF161" s="150">
        <v>0.42026766724081399</v>
      </c>
      <c r="AG161" s="149">
        <f t="shared" si="24"/>
        <v>292851.20816097007</v>
      </c>
      <c r="AH161" s="139">
        <f t="shared" si="25"/>
        <v>212297.79183902993</v>
      </c>
      <c r="AI161" s="156"/>
      <c r="AJ161" s="11"/>
      <c r="AK161" s="12"/>
      <c r="AL161" s="17"/>
    </row>
    <row r="162" spans="1:38" x14ac:dyDescent="0.2">
      <c r="A162" s="125" t="s">
        <v>155</v>
      </c>
      <c r="B162" s="4"/>
      <c r="C162" s="5"/>
      <c r="D162" s="29">
        <v>6039.6315789473701</v>
      </c>
      <c r="E162" s="4" t="s">
        <v>90</v>
      </c>
      <c r="F162" s="4" t="s">
        <v>168</v>
      </c>
      <c r="G162" s="4">
        <v>2011.6129990094801</v>
      </c>
      <c r="H162" s="3" t="s">
        <v>206</v>
      </c>
      <c r="I162" s="13">
        <v>2012.78571010361</v>
      </c>
      <c r="J162" s="13">
        <f t="shared" si="26"/>
        <v>7.2142898963900279</v>
      </c>
      <c r="K162" s="13"/>
      <c r="L162" s="24">
        <v>38945</v>
      </c>
      <c r="M162" s="23">
        <v>1</v>
      </c>
      <c r="N162" s="16"/>
      <c r="O162" s="16"/>
      <c r="P162" s="23">
        <v>1</v>
      </c>
      <c r="Q162" s="16"/>
      <c r="R162" s="16"/>
      <c r="S162" s="16"/>
      <c r="T162" s="16"/>
      <c r="U162" s="16"/>
      <c r="V162" s="49"/>
      <c r="W162" s="49"/>
      <c r="X162" s="50"/>
      <c r="Y162" s="162" t="s">
        <v>316</v>
      </c>
      <c r="Z162" s="13"/>
      <c r="AA162" s="138">
        <v>113446.66308855799</v>
      </c>
      <c r="AB162" s="138"/>
      <c r="AC162" s="149">
        <v>505149</v>
      </c>
      <c r="AD162" s="149">
        <f>AD161+AC162</f>
        <v>6061788</v>
      </c>
      <c r="AE162" s="150">
        <v>0.57817513476196103</v>
      </c>
      <c r="AF162" s="150">
        <v>0.42182486523803903</v>
      </c>
      <c r="AG162" s="149">
        <f t="shared" si="24"/>
        <v>292064.59114986984</v>
      </c>
      <c r="AH162" s="139">
        <f t="shared" si="25"/>
        <v>213084.40885013016</v>
      </c>
      <c r="AI162" s="156"/>
      <c r="AJ162" s="11"/>
      <c r="AK162" s="12"/>
      <c r="AL162" s="17"/>
    </row>
    <row r="163" spans="1:38" x14ac:dyDescent="0.2">
      <c r="A163" s="125" t="s">
        <v>159</v>
      </c>
      <c r="B163" s="4"/>
      <c r="C163" s="5"/>
      <c r="D163" s="29">
        <v>6040.7368421052597</v>
      </c>
      <c r="E163" s="4" t="s">
        <v>90</v>
      </c>
      <c r="F163" s="4" t="s">
        <v>168</v>
      </c>
      <c r="G163" s="4">
        <v>2011.6737302407601</v>
      </c>
      <c r="H163" s="3" t="s">
        <v>208</v>
      </c>
      <c r="I163" s="13">
        <v>2012.8560966876801</v>
      </c>
      <c r="J163" s="13">
        <f t="shared" si="26"/>
        <v>7.1439033123199351</v>
      </c>
      <c r="K163" s="13"/>
      <c r="L163" s="24">
        <v>38945</v>
      </c>
      <c r="M163" s="23">
        <v>1</v>
      </c>
      <c r="N163" s="16"/>
      <c r="O163" s="16"/>
      <c r="P163" s="23">
        <v>1</v>
      </c>
      <c r="Q163" s="16"/>
      <c r="R163" s="16"/>
      <c r="S163" s="16"/>
      <c r="T163" s="16"/>
      <c r="U163" s="16"/>
      <c r="V163" s="49"/>
      <c r="W163" s="49"/>
      <c r="X163" s="50"/>
      <c r="Y163" s="162" t="s">
        <v>209</v>
      </c>
      <c r="Z163" s="138"/>
      <c r="AA163" s="138">
        <v>113630.954379117</v>
      </c>
      <c r="AB163" s="138" t="s">
        <v>317</v>
      </c>
      <c r="AC163" s="149">
        <v>505149</v>
      </c>
      <c r="AD163" s="149">
        <f t="shared" ref="AD163:AD169" si="27">AD162+AC163</f>
        <v>6566937</v>
      </c>
      <c r="AE163" s="150">
        <v>0.57661793676473605</v>
      </c>
      <c r="AF163" s="150">
        <v>0.42338206323526301</v>
      </c>
      <c r="AG163" s="149">
        <f t="shared" si="24"/>
        <v>291277.97413876967</v>
      </c>
      <c r="AH163" s="139">
        <f t="shared" si="25"/>
        <v>213871.02586123033</v>
      </c>
      <c r="AI163" s="156"/>
      <c r="AJ163" s="11"/>
      <c r="AK163" s="12"/>
      <c r="AL163" s="17"/>
    </row>
    <row r="164" spans="1:38" x14ac:dyDescent="0.2">
      <c r="A164" s="125" t="s">
        <v>163</v>
      </c>
      <c r="B164" s="4"/>
      <c r="C164" s="5"/>
      <c r="D164" s="29">
        <v>6041.8421052631602</v>
      </c>
      <c r="E164" s="4" t="s">
        <v>90</v>
      </c>
      <c r="F164" s="4" t="s">
        <v>168</v>
      </c>
      <c r="G164" s="4">
        <v>2011.73446147204</v>
      </c>
      <c r="H164" s="3" t="s">
        <v>211</v>
      </c>
      <c r="I164" s="13">
        <v>2012.9264832717399</v>
      </c>
      <c r="J164" s="13">
        <f t="shared" si="26"/>
        <v>7.0735167282600742</v>
      </c>
      <c r="K164" s="13"/>
      <c r="L164" s="24">
        <v>38958</v>
      </c>
      <c r="M164" s="23">
        <v>1</v>
      </c>
      <c r="N164" s="16"/>
      <c r="O164" s="16"/>
      <c r="P164" s="23">
        <v>1</v>
      </c>
      <c r="Q164" s="16"/>
      <c r="R164" s="16"/>
      <c r="S164" s="16"/>
      <c r="T164" s="16"/>
      <c r="U164" s="16"/>
      <c r="V164" s="49"/>
      <c r="W164" s="49"/>
      <c r="X164" s="49"/>
      <c r="Y164" s="162" t="s">
        <v>209</v>
      </c>
      <c r="Z164" s="138"/>
      <c r="AA164" s="138">
        <v>113815.245669675</v>
      </c>
      <c r="AB164" s="138"/>
      <c r="AC164" s="149">
        <v>505149</v>
      </c>
      <c r="AD164" s="149">
        <f t="shared" si="27"/>
        <v>7072086</v>
      </c>
      <c r="AE164" s="150">
        <v>0.57506073876751196</v>
      </c>
      <c r="AF164" s="150">
        <v>0.42493926123248799</v>
      </c>
      <c r="AG164" s="149">
        <f t="shared" si="24"/>
        <v>290491.35712766991</v>
      </c>
      <c r="AH164" s="139">
        <f t="shared" si="25"/>
        <v>214657.64287233009</v>
      </c>
      <c r="AI164" s="156"/>
      <c r="AJ164" s="11"/>
      <c r="AK164" s="12"/>
      <c r="AL164" s="17"/>
    </row>
    <row r="165" spans="1:38" x14ac:dyDescent="0.2">
      <c r="A165" s="125" t="s">
        <v>167</v>
      </c>
      <c r="B165" s="4"/>
      <c r="C165" s="5"/>
      <c r="D165" s="29">
        <v>6042.9473684210498</v>
      </c>
      <c r="E165" s="4" t="s">
        <v>90</v>
      </c>
      <c r="F165" s="4" t="s">
        <v>168</v>
      </c>
      <c r="G165" s="4">
        <v>2011.79519270332</v>
      </c>
      <c r="H165" s="3" t="s">
        <v>212</v>
      </c>
      <c r="I165" s="13">
        <v>2012.99686985581</v>
      </c>
      <c r="J165" s="13">
        <f t="shared" si="26"/>
        <v>7.0031301441899814</v>
      </c>
      <c r="K165" s="13"/>
      <c r="L165" s="24">
        <v>38958</v>
      </c>
      <c r="M165" s="23">
        <v>1</v>
      </c>
      <c r="N165" s="16"/>
      <c r="O165" s="16"/>
      <c r="P165" s="23">
        <v>1</v>
      </c>
      <c r="Q165" s="16"/>
      <c r="R165" s="16"/>
      <c r="S165" s="16"/>
      <c r="T165" s="16"/>
      <c r="U165" s="16"/>
      <c r="V165" s="49"/>
      <c r="W165" s="49"/>
      <c r="X165" s="49"/>
      <c r="Y165" s="162" t="s">
        <v>209</v>
      </c>
      <c r="Z165" s="138"/>
      <c r="AA165" s="138">
        <v>113999.53696023401</v>
      </c>
      <c r="AB165" s="138"/>
      <c r="AC165" s="149">
        <v>505149</v>
      </c>
      <c r="AD165" s="149">
        <f t="shared" si="27"/>
        <v>7577235</v>
      </c>
      <c r="AE165" s="150">
        <v>0.57350354077028698</v>
      </c>
      <c r="AF165" s="150">
        <v>0.42649645922971302</v>
      </c>
      <c r="AG165" s="149">
        <f t="shared" si="24"/>
        <v>289704.74011656968</v>
      </c>
      <c r="AH165" s="139">
        <f t="shared" si="25"/>
        <v>215444.25988343032</v>
      </c>
      <c r="AI165" s="156"/>
      <c r="AJ165" s="11"/>
      <c r="AK165" s="12"/>
      <c r="AL165" s="17"/>
    </row>
    <row r="166" spans="1:38" x14ac:dyDescent="0.2">
      <c r="A166" s="125" t="s">
        <v>172</v>
      </c>
      <c r="B166" s="4"/>
      <c r="C166" s="5"/>
      <c r="D166" s="29">
        <v>6044.0526315789502</v>
      </c>
      <c r="E166" s="4" t="s">
        <v>90</v>
      </c>
      <c r="F166" s="4" t="s">
        <v>168</v>
      </c>
      <c r="G166" s="4">
        <v>2011.8559239346</v>
      </c>
      <c r="H166" s="3" t="s">
        <v>213</v>
      </c>
      <c r="I166" s="13">
        <v>2013.0672564398801</v>
      </c>
      <c r="J166" s="13">
        <f t="shared" si="26"/>
        <v>6.9327435601198886</v>
      </c>
      <c r="K166" s="13"/>
      <c r="L166" s="24">
        <v>38958</v>
      </c>
      <c r="M166" s="23">
        <v>1</v>
      </c>
      <c r="N166" s="16"/>
      <c r="O166" s="16"/>
      <c r="P166" s="23">
        <v>1</v>
      </c>
      <c r="Q166" s="16"/>
      <c r="R166" s="16"/>
      <c r="S166" s="16"/>
      <c r="T166" s="16"/>
      <c r="U166" s="16"/>
      <c r="V166" s="49"/>
      <c r="W166" s="49"/>
      <c r="X166" s="49"/>
      <c r="Y166" s="162" t="s">
        <v>209</v>
      </c>
      <c r="Z166" s="138"/>
      <c r="AA166" s="138">
        <v>114183.828250793</v>
      </c>
      <c r="AB166" s="138"/>
      <c r="AC166" s="149">
        <v>505149</v>
      </c>
      <c r="AD166" s="149">
        <f t="shared" si="27"/>
        <v>8082384</v>
      </c>
      <c r="AE166" s="150">
        <v>0.571946342773063</v>
      </c>
      <c r="AF166" s="150">
        <v>0.428053657226937</v>
      </c>
      <c r="AG166" s="149">
        <f t="shared" si="24"/>
        <v>288918.12310546997</v>
      </c>
      <c r="AH166" s="139">
        <f t="shared" si="25"/>
        <v>216230.87689453003</v>
      </c>
      <c r="AI166" s="156"/>
      <c r="AJ166" s="11"/>
      <c r="AK166" s="12"/>
      <c r="AL166" s="17"/>
    </row>
    <row r="167" spans="1:38" x14ac:dyDescent="0.2">
      <c r="A167" s="125" t="s">
        <v>177</v>
      </c>
      <c r="B167" s="4"/>
      <c r="C167" s="5"/>
      <c r="D167" s="30">
        <v>6045.1578947368398</v>
      </c>
      <c r="E167" s="4" t="s">
        <v>90</v>
      </c>
      <c r="F167" s="4" t="s">
        <v>168</v>
      </c>
      <c r="G167" s="4">
        <v>2011.91665516588</v>
      </c>
      <c r="H167" s="3" t="s">
        <v>214</v>
      </c>
      <c r="I167" s="13">
        <v>2013.13764302394</v>
      </c>
      <c r="J167" s="13">
        <f t="shared" si="26"/>
        <v>6.8623569760600276</v>
      </c>
      <c r="K167" s="13"/>
      <c r="L167" s="24">
        <v>38958</v>
      </c>
      <c r="M167" s="23">
        <v>1</v>
      </c>
      <c r="N167" s="16"/>
      <c r="O167" s="16"/>
      <c r="P167" s="23">
        <v>1</v>
      </c>
      <c r="Q167" s="16"/>
      <c r="R167" s="16"/>
      <c r="S167" s="16"/>
      <c r="T167" s="16"/>
      <c r="U167" s="16"/>
      <c r="V167" s="49"/>
      <c r="W167" s="49"/>
      <c r="X167" s="49"/>
      <c r="Y167" s="162" t="s">
        <v>209</v>
      </c>
      <c r="Z167" s="138"/>
      <c r="AA167" s="138">
        <v>114368.119541352</v>
      </c>
      <c r="AB167" s="138"/>
      <c r="AC167" s="149">
        <v>505149</v>
      </c>
      <c r="AD167" s="149">
        <f t="shared" si="27"/>
        <v>8587533</v>
      </c>
      <c r="AE167" s="150">
        <v>0.57038914477583802</v>
      </c>
      <c r="AF167" s="150">
        <v>0.42961085522416198</v>
      </c>
      <c r="AG167" s="149">
        <f t="shared" si="24"/>
        <v>288131.5060943698</v>
      </c>
      <c r="AH167" s="139">
        <f t="shared" si="25"/>
        <v>217017.4939056302</v>
      </c>
      <c r="AI167" s="156"/>
      <c r="AJ167" s="11"/>
      <c r="AK167" s="12"/>
      <c r="AL167" s="17"/>
    </row>
    <row r="168" spans="1:38" x14ac:dyDescent="0.2">
      <c r="A168" s="125" t="s">
        <v>180</v>
      </c>
      <c r="B168" s="4"/>
      <c r="C168" s="5"/>
      <c r="D168" s="29">
        <v>6046.2631578947403</v>
      </c>
      <c r="E168" s="4" t="s">
        <v>90</v>
      </c>
      <c r="F168" s="4" t="s">
        <v>168</v>
      </c>
      <c r="G168" s="4">
        <v>2011.97738639716</v>
      </c>
      <c r="H168" s="3" t="s">
        <v>215</v>
      </c>
      <c r="I168" s="13">
        <v>2013.2080296080101</v>
      </c>
      <c r="J168" s="13">
        <f t="shared" si="26"/>
        <v>6.7919703919899348</v>
      </c>
      <c r="K168" s="13"/>
      <c r="L168" s="24">
        <v>38958</v>
      </c>
      <c r="M168" s="23">
        <v>1</v>
      </c>
      <c r="N168" s="16"/>
      <c r="O168" s="16"/>
      <c r="P168" s="23">
        <v>1</v>
      </c>
      <c r="Q168" s="16"/>
      <c r="R168" s="16"/>
      <c r="S168" s="16"/>
      <c r="T168" s="16"/>
      <c r="U168" s="16"/>
      <c r="V168" s="49"/>
      <c r="W168" s="49"/>
      <c r="X168" s="49"/>
      <c r="Y168" s="162" t="s">
        <v>209</v>
      </c>
      <c r="Z168" s="138"/>
      <c r="AA168" s="138">
        <v>114552.41083191001</v>
      </c>
      <c r="AB168" s="138"/>
      <c r="AC168" s="149">
        <v>505149</v>
      </c>
      <c r="AD168" s="149">
        <f t="shared" si="27"/>
        <v>9092682</v>
      </c>
      <c r="AE168" s="150">
        <v>0.56883194677861404</v>
      </c>
      <c r="AF168" s="150">
        <v>0.43116805322138602</v>
      </c>
      <c r="AG168" s="149">
        <f t="shared" si="24"/>
        <v>287344.8890832701</v>
      </c>
      <c r="AH168" s="139">
        <f t="shared" si="25"/>
        <v>217804.1109167299</v>
      </c>
      <c r="AI168" s="156"/>
      <c r="AJ168" s="11"/>
      <c r="AK168" s="12"/>
      <c r="AL168" s="17"/>
    </row>
    <row r="169" spans="1:38" x14ac:dyDescent="0.2">
      <c r="A169" s="125" t="s">
        <v>183</v>
      </c>
      <c r="B169" s="4"/>
      <c r="C169" s="5"/>
      <c r="D169" s="4">
        <v>6047.3684210526299</v>
      </c>
      <c r="E169" s="4" t="s">
        <v>90</v>
      </c>
      <c r="F169" s="4" t="s">
        <v>168</v>
      </c>
      <c r="G169" s="4">
        <v>2012.03811762844</v>
      </c>
      <c r="H169" s="3" t="s">
        <v>216</v>
      </c>
      <c r="I169" s="13">
        <v>2013.2784161920799</v>
      </c>
      <c r="J169" s="13">
        <f t="shared" si="26"/>
        <v>6.7215838079200694</v>
      </c>
      <c r="K169" s="13"/>
      <c r="L169" s="24">
        <v>38958</v>
      </c>
      <c r="M169" s="23">
        <v>1</v>
      </c>
      <c r="N169" s="16"/>
      <c r="O169" s="16"/>
      <c r="P169" s="23">
        <v>1</v>
      </c>
      <c r="Q169" s="16"/>
      <c r="R169" s="16"/>
      <c r="S169" s="16"/>
      <c r="T169" s="16"/>
      <c r="U169" s="16"/>
      <c r="V169" s="49"/>
      <c r="W169" s="49"/>
      <c r="X169" s="49"/>
      <c r="Y169" s="162" t="s">
        <v>209</v>
      </c>
      <c r="Z169" s="144"/>
      <c r="AA169" s="138">
        <v>114736.702122469</v>
      </c>
      <c r="AB169" s="138"/>
      <c r="AC169" s="149">
        <v>505149</v>
      </c>
      <c r="AD169" s="149">
        <f t="shared" si="27"/>
        <v>9597831</v>
      </c>
      <c r="AE169" s="150">
        <v>0.56727474878138895</v>
      </c>
      <c r="AF169" s="150">
        <v>0.432725251218611</v>
      </c>
      <c r="AG169" s="149">
        <f t="shared" si="24"/>
        <v>286558.27207216987</v>
      </c>
      <c r="AH169" s="139">
        <f t="shared" si="25"/>
        <v>218590.72792783013</v>
      </c>
      <c r="AI169" s="156"/>
      <c r="AJ169" s="11"/>
      <c r="AK169" s="12"/>
      <c r="AL169" s="17"/>
    </row>
    <row r="170" spans="1:38" x14ac:dyDescent="0.2">
      <c r="A170" s="163"/>
      <c r="B170" s="76"/>
      <c r="C170" s="77"/>
      <c r="D170" s="76"/>
      <c r="E170" s="76"/>
      <c r="F170" s="76"/>
      <c r="G170" s="76">
        <v>2012.09884885972</v>
      </c>
      <c r="H170" s="78"/>
      <c r="I170" s="60">
        <v>2013.34880277615</v>
      </c>
      <c r="J170" s="60"/>
      <c r="K170" s="60"/>
      <c r="L170" s="79"/>
      <c r="M170" s="80"/>
      <c r="N170" s="80"/>
      <c r="O170" s="80"/>
      <c r="P170" s="80"/>
      <c r="Q170" s="80"/>
      <c r="R170" s="80"/>
      <c r="S170" s="80"/>
      <c r="T170" s="80"/>
      <c r="U170" s="80"/>
      <c r="V170" s="80"/>
      <c r="W170" s="80"/>
      <c r="X170" s="80"/>
      <c r="Y170" s="147"/>
      <c r="Z170" s="147"/>
      <c r="AA170" s="147">
        <v>114920.993413028</v>
      </c>
      <c r="AB170" s="74" t="s">
        <v>217</v>
      </c>
      <c r="AC170" s="75">
        <f>SUM(AC151:AC169)</f>
        <v>9597831</v>
      </c>
      <c r="AD170" s="12"/>
      <c r="AE170" s="12">
        <v>0.56571755078416497</v>
      </c>
      <c r="AF170" s="12">
        <v>0.43428244921583498</v>
      </c>
      <c r="AG170" s="75">
        <f>SUM(AG151:AG169)</f>
        <v>5579118.6782693267</v>
      </c>
      <c r="AH170" s="84">
        <f>SUM(AH151:AH169)</f>
        <v>4018712.3217306733</v>
      </c>
      <c r="AI170" s="12"/>
      <c r="AJ170" s="12"/>
      <c r="AK170" s="12"/>
      <c r="AL170" s="12"/>
    </row>
    <row r="171" spans="1:38" x14ac:dyDescent="0.2">
      <c r="B171" s="6"/>
      <c r="C171" s="6"/>
      <c r="D171" s="6"/>
      <c r="E171" s="6"/>
      <c r="F171" s="6"/>
      <c r="G171" s="6">
        <v>2012.159580091</v>
      </c>
      <c r="H171" s="6"/>
      <c r="I171" s="7">
        <v>2013.4191893602101</v>
      </c>
      <c r="J171" s="7"/>
      <c r="K171" s="7"/>
      <c r="L171" s="9"/>
      <c r="M171" s="9"/>
      <c r="N171" s="7"/>
      <c r="O171" s="7"/>
      <c r="P171" s="7"/>
      <c r="Q171" s="7"/>
      <c r="R171" s="7"/>
      <c r="S171" s="7"/>
      <c r="T171" s="7"/>
      <c r="U171" s="7"/>
      <c r="V171" s="7"/>
      <c r="W171" s="7"/>
      <c r="X171" s="7"/>
      <c r="Y171" s="7"/>
      <c r="Z171" s="72"/>
      <c r="AA171" s="7">
        <v>115105.284703586</v>
      </c>
      <c r="AB171" s="7"/>
      <c r="AC171" s="7"/>
      <c r="AD171" s="7"/>
      <c r="AE171" s="7">
        <v>0.56416035278693999</v>
      </c>
      <c r="AF171" s="7">
        <v>0.43583964721306001</v>
      </c>
      <c r="AG171" s="7"/>
      <c r="AH171" s="7"/>
      <c r="AI171" s="7"/>
      <c r="AJ171" s="10"/>
    </row>
    <row r="172" spans="1:38" x14ac:dyDescent="0.2">
      <c r="A172" s="55" t="s">
        <v>28</v>
      </c>
      <c r="B172" s="4"/>
      <c r="C172" s="5"/>
      <c r="D172" s="53" t="s">
        <v>318</v>
      </c>
      <c r="E172" s="21"/>
      <c r="F172" s="21"/>
      <c r="G172" s="21">
        <v>2012.2203113222699</v>
      </c>
      <c r="H172" s="22"/>
      <c r="I172" s="13">
        <v>2013.48957594428</v>
      </c>
      <c r="J172" s="13"/>
      <c r="K172" s="13"/>
      <c r="L172" s="8"/>
      <c r="M172" s="16"/>
      <c r="N172" s="16"/>
      <c r="O172" s="16"/>
      <c r="P172" s="16"/>
      <c r="Q172" s="16"/>
      <c r="R172" s="16"/>
      <c r="S172" s="16"/>
      <c r="T172" s="16"/>
      <c r="U172" s="16"/>
      <c r="V172" s="16"/>
      <c r="W172" s="16"/>
      <c r="X172" s="16"/>
      <c r="Y172" s="16"/>
      <c r="Z172" s="16"/>
      <c r="AA172" s="16">
        <v>115289.57599414499</v>
      </c>
      <c r="AB172" s="16"/>
      <c r="AC172" s="16"/>
      <c r="AD172" s="16"/>
      <c r="AE172" s="16">
        <v>0.56260315478971501</v>
      </c>
      <c r="AF172" s="16">
        <v>0.43739684521028399</v>
      </c>
      <c r="AG172" s="16"/>
      <c r="AH172" s="16"/>
      <c r="AI172" s="16"/>
      <c r="AJ172" s="16"/>
      <c r="AK172" s="16"/>
      <c r="AL172" s="17"/>
    </row>
    <row r="173" spans="1:38" x14ac:dyDescent="0.2">
      <c r="A173" s="125" t="s">
        <v>30</v>
      </c>
      <c r="B173" s="4"/>
      <c r="C173" s="5"/>
      <c r="D173" s="29">
        <v>8681.7348993288597</v>
      </c>
      <c r="E173" s="4" t="s">
        <v>90</v>
      </c>
      <c r="F173" s="4" t="s">
        <v>168</v>
      </c>
      <c r="G173" s="4">
        <v>2012.2810425535499</v>
      </c>
      <c r="H173" s="3" t="s">
        <v>219</v>
      </c>
      <c r="I173" s="13">
        <v>2013.5599625283501</v>
      </c>
      <c r="J173" s="13">
        <f>2021-I173</f>
        <v>7.44003747164993</v>
      </c>
      <c r="K173" s="13"/>
      <c r="L173" s="8"/>
      <c r="M173" s="16"/>
      <c r="N173" s="16"/>
      <c r="O173" s="16"/>
      <c r="P173" s="16"/>
      <c r="Q173" s="16"/>
      <c r="R173" s="16"/>
      <c r="S173" s="16"/>
      <c r="T173" s="16"/>
      <c r="U173" s="16"/>
      <c r="V173" s="16"/>
      <c r="W173" s="16"/>
      <c r="X173" s="16"/>
      <c r="Y173" s="164" t="s">
        <v>220</v>
      </c>
      <c r="Z173" s="23"/>
      <c r="AA173" s="138">
        <v>115473.867284704</v>
      </c>
      <c r="AB173" s="138" t="s">
        <v>221</v>
      </c>
      <c r="AC173" s="149">
        <v>143405.89335483901</v>
      </c>
      <c r="AD173" s="149">
        <f>AC173</f>
        <v>143405.89335483901</v>
      </c>
      <c r="AE173" s="150">
        <v>0.56104595679249103</v>
      </c>
      <c r="AF173" s="150">
        <v>0.43895404320750903</v>
      </c>
      <c r="AG173" s="149">
        <f>AE173*AC173</f>
        <v>80457.29664694758</v>
      </c>
      <c r="AH173" s="149">
        <f>AC173-AG173</f>
        <v>62948.596707891425</v>
      </c>
      <c r="AI173" s="16"/>
      <c r="AJ173" s="16"/>
      <c r="AK173" s="82"/>
      <c r="AL173" s="17"/>
    </row>
    <row r="174" spans="1:38" x14ac:dyDescent="0.2">
      <c r="A174" s="125" t="s">
        <v>36</v>
      </c>
      <c r="B174" s="4"/>
      <c r="C174" s="5"/>
      <c r="D174" s="29">
        <v>8773.9261744966498</v>
      </c>
      <c r="E174" s="4" t="s">
        <v>90</v>
      </c>
      <c r="F174" s="4" t="s">
        <v>168</v>
      </c>
      <c r="G174" s="4">
        <v>2012.3417737848299</v>
      </c>
      <c r="H174" s="3" t="s">
        <v>222</v>
      </c>
      <c r="I174" s="13">
        <v>2013.6303491124099</v>
      </c>
      <c r="J174" s="13">
        <f t="shared" ref="J174:J183" si="28">2021-I174</f>
        <v>7.369650887590069</v>
      </c>
      <c r="K174" s="13"/>
      <c r="L174" s="8"/>
      <c r="M174" s="16"/>
      <c r="N174" s="16"/>
      <c r="O174" s="16"/>
      <c r="P174" s="16"/>
      <c r="Q174" s="16"/>
      <c r="R174" s="16"/>
      <c r="S174" s="16"/>
      <c r="T174" s="16"/>
      <c r="U174" s="16"/>
      <c r="V174" s="16"/>
      <c r="W174" s="16"/>
      <c r="X174" s="16"/>
      <c r="Y174" s="164" t="s">
        <v>220</v>
      </c>
      <c r="Z174" s="23"/>
      <c r="AA174" s="138">
        <v>115658.158575262</v>
      </c>
      <c r="AB174" s="138" t="s">
        <v>221</v>
      </c>
      <c r="AC174" s="149">
        <v>132373.34195161299</v>
      </c>
      <c r="AD174" s="149">
        <f>AD173+AC174</f>
        <v>275779.23530645203</v>
      </c>
      <c r="AE174" s="150">
        <v>0.55948875879526605</v>
      </c>
      <c r="AF174" s="150">
        <v>0.44051124120473401</v>
      </c>
      <c r="AG174" s="149">
        <f>AE174*AC174</f>
        <v>74061.396786089274</v>
      </c>
      <c r="AH174" s="149">
        <f>AC174-AG174</f>
        <v>58311.945165523721</v>
      </c>
      <c r="AI174" s="16"/>
      <c r="AJ174" s="16"/>
      <c r="AK174" s="82"/>
      <c r="AL174" s="17"/>
    </row>
    <row r="175" spans="1:38" x14ac:dyDescent="0.2">
      <c r="A175" s="125" t="s">
        <v>38</v>
      </c>
      <c r="B175" s="4"/>
      <c r="C175" s="5"/>
      <c r="D175" s="29">
        <v>8866.1174496644308</v>
      </c>
      <c r="E175" s="4" t="s">
        <v>90</v>
      </c>
      <c r="F175" s="4" t="s">
        <v>168</v>
      </c>
      <c r="G175" s="4">
        <v>2012.4025050161099</v>
      </c>
      <c r="H175" s="3" t="s">
        <v>223</v>
      </c>
      <c r="I175" s="13">
        <v>2013.70073569648</v>
      </c>
      <c r="J175" s="13">
        <f t="shared" si="28"/>
        <v>7.2992643035199762</v>
      </c>
      <c r="K175" s="13"/>
      <c r="L175" s="8"/>
      <c r="M175" s="16"/>
      <c r="N175" s="16"/>
      <c r="O175" s="16"/>
      <c r="P175" s="16"/>
      <c r="Q175" s="16"/>
      <c r="R175" s="16"/>
      <c r="S175" s="16"/>
      <c r="T175" s="16"/>
      <c r="U175" s="16"/>
      <c r="V175" s="16"/>
      <c r="W175" s="16"/>
      <c r="X175" s="16"/>
      <c r="Y175" s="164" t="s">
        <v>220</v>
      </c>
      <c r="Z175" s="23"/>
      <c r="AA175" s="138">
        <v>115842.44986582101</v>
      </c>
      <c r="AB175" s="138" t="s">
        <v>221</v>
      </c>
      <c r="AC175" s="149">
        <v>121340.790548387</v>
      </c>
      <c r="AD175" s="149">
        <f t="shared" ref="AD175:AD187" si="29">AD174+AC175</f>
        <v>397120.02585483901</v>
      </c>
      <c r="AE175" s="150">
        <v>0.55793156079804196</v>
      </c>
      <c r="AF175" s="150">
        <v>0.44206843920195799</v>
      </c>
      <c r="AG175" s="149">
        <f>AE175*AC175</f>
        <v>67699.856659129859</v>
      </c>
      <c r="AH175" s="149">
        <f>AC175-AG175</f>
        <v>53640.93388925714</v>
      </c>
      <c r="AI175" s="16"/>
      <c r="AJ175" s="16"/>
      <c r="AK175" s="82"/>
      <c r="AL175" s="17"/>
    </row>
    <row r="176" spans="1:38" x14ac:dyDescent="0.2">
      <c r="A176" s="125" t="s">
        <v>40</v>
      </c>
      <c r="B176" s="4"/>
      <c r="C176" s="5"/>
      <c r="D176" s="29">
        <v>8958.3087248322208</v>
      </c>
      <c r="E176" s="4" t="s">
        <v>90</v>
      </c>
      <c r="F176" s="4" t="s">
        <v>168</v>
      </c>
      <c r="G176" s="4">
        <v>2012.4632362473899</v>
      </c>
      <c r="H176" s="3" t="s">
        <v>319</v>
      </c>
      <c r="I176" s="13">
        <v>2013.7711222805499</v>
      </c>
      <c r="J176" s="13">
        <f t="shared" si="28"/>
        <v>7.2288777194501108</v>
      </c>
      <c r="K176" s="13"/>
      <c r="L176" s="24">
        <v>38958</v>
      </c>
      <c r="M176" s="23">
        <v>1</v>
      </c>
      <c r="N176" s="16"/>
      <c r="O176" s="16"/>
      <c r="P176" s="16"/>
      <c r="Q176" s="16"/>
      <c r="R176" s="16"/>
      <c r="S176" s="16"/>
      <c r="T176" s="16"/>
      <c r="U176" s="16"/>
      <c r="V176" s="49"/>
      <c r="W176" s="49"/>
      <c r="X176" s="49"/>
      <c r="Y176" s="164" t="s">
        <v>220</v>
      </c>
      <c r="Z176" s="13"/>
      <c r="AA176" s="138">
        <v>116026.74115638</v>
      </c>
      <c r="AB176" s="138" t="s">
        <v>221</v>
      </c>
      <c r="AC176" s="149">
        <v>110308.23914516201</v>
      </c>
      <c r="AD176" s="149">
        <f t="shared" si="29"/>
        <v>507428.265000001</v>
      </c>
      <c r="AE176" s="150">
        <v>0.55637436280081698</v>
      </c>
      <c r="AF176" s="150">
        <v>0.44362563719918302</v>
      </c>
      <c r="AG176" s="149">
        <f t="shared" ref="AG176:AG185" si="30">AE176*AC176</f>
        <v>61372.676266069648</v>
      </c>
      <c r="AH176" s="149">
        <f t="shared" ref="AH176:AH185" si="31">AC176-AG176</f>
        <v>48935.562879092358</v>
      </c>
      <c r="AI176" s="139"/>
      <c r="AJ176" s="11"/>
      <c r="AK176" s="12"/>
      <c r="AL176" s="17"/>
    </row>
    <row r="177" spans="1:38" x14ac:dyDescent="0.2">
      <c r="A177" s="125" t="s">
        <v>42</v>
      </c>
      <c r="B177" s="4"/>
      <c r="C177" s="5"/>
      <c r="D177" s="29">
        <v>9050.5</v>
      </c>
      <c r="E177" s="4" t="s">
        <v>90</v>
      </c>
      <c r="F177" s="4" t="s">
        <v>168</v>
      </c>
      <c r="G177" s="4">
        <v>2012.5239674786701</v>
      </c>
      <c r="H177" s="3" t="s">
        <v>225</v>
      </c>
      <c r="I177" s="13">
        <v>2013.84150886461</v>
      </c>
      <c r="J177" s="13">
        <f t="shared" si="28"/>
        <v>7.1584911353900225</v>
      </c>
      <c r="K177" s="13"/>
      <c r="L177" s="24">
        <v>38961</v>
      </c>
      <c r="M177" s="23">
        <v>1</v>
      </c>
      <c r="N177" s="16"/>
      <c r="O177" s="16"/>
      <c r="P177" s="16"/>
      <c r="Q177" s="16"/>
      <c r="R177" s="16"/>
      <c r="S177" s="16"/>
      <c r="T177" s="16"/>
      <c r="U177" s="16"/>
      <c r="V177" s="49"/>
      <c r="W177" s="49"/>
      <c r="X177" s="49"/>
      <c r="Y177" s="164" t="s">
        <v>220</v>
      </c>
      <c r="Z177" s="13"/>
      <c r="AA177" s="138">
        <v>116211.032446938</v>
      </c>
      <c r="AB177" s="138" t="s">
        <v>221</v>
      </c>
      <c r="AC177" s="149">
        <v>99275.687741935806</v>
      </c>
      <c r="AD177" s="149">
        <f t="shared" si="29"/>
        <v>606703.95274193678</v>
      </c>
      <c r="AE177" s="150">
        <v>0.554817164803593</v>
      </c>
      <c r="AF177" s="150">
        <v>0.445182835196407</v>
      </c>
      <c r="AG177" s="149">
        <f t="shared" si="30"/>
        <v>55079.855606907637</v>
      </c>
      <c r="AH177" s="149">
        <f t="shared" si="31"/>
        <v>44195.832135028169</v>
      </c>
      <c r="AI177" s="139"/>
      <c r="AJ177" s="11"/>
      <c r="AK177" s="12"/>
      <c r="AL177" s="17"/>
    </row>
    <row r="178" spans="1:38" x14ac:dyDescent="0.2">
      <c r="A178" s="125" t="s">
        <v>44</v>
      </c>
      <c r="B178" s="4"/>
      <c r="C178" s="5"/>
      <c r="D178" s="29">
        <v>9142.6912751677901</v>
      </c>
      <c r="E178" s="4" t="s">
        <v>90</v>
      </c>
      <c r="F178" s="4" t="s">
        <v>168</v>
      </c>
      <c r="G178" s="4">
        <v>2012.5846987099501</v>
      </c>
      <c r="H178" s="3" t="s">
        <v>226</v>
      </c>
      <c r="I178" s="13">
        <v>2013.9118954486801</v>
      </c>
      <c r="J178" s="13">
        <f t="shared" si="28"/>
        <v>7.0881045513199297</v>
      </c>
      <c r="K178" s="13"/>
      <c r="L178" s="24">
        <v>38960</v>
      </c>
      <c r="M178" s="23">
        <v>1</v>
      </c>
      <c r="N178" s="16"/>
      <c r="O178" s="16"/>
      <c r="P178" s="16"/>
      <c r="Q178" s="16"/>
      <c r="R178" s="16"/>
      <c r="S178" s="16"/>
      <c r="T178" s="16"/>
      <c r="U178" s="16"/>
      <c r="V178" s="49"/>
      <c r="W178" s="49"/>
      <c r="X178" s="49"/>
      <c r="Y178" s="164" t="s">
        <v>220</v>
      </c>
      <c r="Z178" s="13"/>
      <c r="AA178" s="138">
        <v>116395.323737497</v>
      </c>
      <c r="AB178" s="138" t="s">
        <v>221</v>
      </c>
      <c r="AC178" s="149">
        <v>88243.136338709897</v>
      </c>
      <c r="AD178" s="149">
        <f t="shared" si="29"/>
        <v>694947.08908064663</v>
      </c>
      <c r="AE178" s="150">
        <v>0.55325996680636802</v>
      </c>
      <c r="AF178" s="150">
        <v>0.44674003319363198</v>
      </c>
      <c r="AG178" s="149">
        <f t="shared" si="30"/>
        <v>48821.394681644444</v>
      </c>
      <c r="AH178" s="149">
        <f t="shared" si="31"/>
        <v>39421.741657065453</v>
      </c>
      <c r="AI178" s="139"/>
      <c r="AJ178" s="11"/>
      <c r="AK178" s="12"/>
      <c r="AL178" s="17"/>
    </row>
    <row r="179" spans="1:38" x14ac:dyDescent="0.2">
      <c r="A179" s="125" t="s">
        <v>46</v>
      </c>
      <c r="B179" s="4"/>
      <c r="C179" s="5"/>
      <c r="D179" s="29">
        <v>9234.8825503355692</v>
      </c>
      <c r="E179" s="4" t="s">
        <v>90</v>
      </c>
      <c r="F179" s="4" t="s">
        <v>168</v>
      </c>
      <c r="G179" s="4">
        <v>2012.6454299412301</v>
      </c>
      <c r="H179" s="3" t="s">
        <v>227</v>
      </c>
      <c r="I179" s="13">
        <v>2013.9822820327499</v>
      </c>
      <c r="J179" s="13">
        <f t="shared" si="28"/>
        <v>7.0177179672500642</v>
      </c>
      <c r="K179" s="13"/>
      <c r="L179" s="24">
        <v>38960</v>
      </c>
      <c r="M179" s="23">
        <v>1</v>
      </c>
      <c r="N179" s="16"/>
      <c r="O179" s="16"/>
      <c r="P179" s="16"/>
      <c r="Q179" s="16"/>
      <c r="R179" s="16"/>
      <c r="S179" s="16"/>
      <c r="T179" s="16"/>
      <c r="U179" s="16"/>
      <c r="V179" s="49"/>
      <c r="W179" s="49"/>
      <c r="X179" s="49"/>
      <c r="Y179" s="164" t="s">
        <v>220</v>
      </c>
      <c r="Z179" s="13"/>
      <c r="AA179" s="138">
        <v>116579.615028056</v>
      </c>
      <c r="AB179" s="138" t="s">
        <v>221</v>
      </c>
      <c r="AC179" s="149">
        <v>77210.584935483901</v>
      </c>
      <c r="AD179" s="149">
        <f t="shared" si="29"/>
        <v>772157.67401613051</v>
      </c>
      <c r="AE179" s="150">
        <v>0.55170276880914304</v>
      </c>
      <c r="AF179" s="150">
        <v>0.44829723119085602</v>
      </c>
      <c r="AG179" s="149">
        <f t="shared" si="30"/>
        <v>42597.293490279975</v>
      </c>
      <c r="AH179" s="149">
        <f t="shared" si="31"/>
        <v>34613.291445203926</v>
      </c>
      <c r="AI179" s="139"/>
      <c r="AJ179" s="11"/>
      <c r="AK179" s="12"/>
      <c r="AL179" s="17"/>
    </row>
    <row r="180" spans="1:38" x14ac:dyDescent="0.2">
      <c r="A180" s="125" t="s">
        <v>48</v>
      </c>
      <c r="B180" s="4"/>
      <c r="C180" s="5"/>
      <c r="D180" s="29">
        <v>9327.0738255033593</v>
      </c>
      <c r="E180" s="4" t="s">
        <v>90</v>
      </c>
      <c r="F180" s="4" t="s">
        <v>168</v>
      </c>
      <c r="G180" s="4">
        <v>2012.7061611725101</v>
      </c>
      <c r="H180" s="3" t="s">
        <v>228</v>
      </c>
      <c r="I180" s="13">
        <v>2014.05266861681</v>
      </c>
      <c r="J180" s="13">
        <f t="shared" si="28"/>
        <v>6.9473313831899759</v>
      </c>
      <c r="K180" s="13"/>
      <c r="L180" s="24">
        <v>38958</v>
      </c>
      <c r="M180" s="23">
        <v>1</v>
      </c>
      <c r="N180" s="16"/>
      <c r="O180" s="16"/>
      <c r="P180" s="16"/>
      <c r="Q180" s="16"/>
      <c r="R180" s="16"/>
      <c r="S180" s="16"/>
      <c r="T180" s="16"/>
      <c r="U180" s="16"/>
      <c r="V180" s="49"/>
      <c r="W180" s="49"/>
      <c r="X180" s="49"/>
      <c r="Y180" s="164" t="s">
        <v>220</v>
      </c>
      <c r="Z180" s="13"/>
      <c r="AA180" s="138">
        <v>116763.906318614</v>
      </c>
      <c r="AB180" s="138" t="s">
        <v>221</v>
      </c>
      <c r="AC180" s="149">
        <v>66178.033532257803</v>
      </c>
      <c r="AD180" s="149">
        <f t="shared" si="29"/>
        <v>838335.70754838828</v>
      </c>
      <c r="AE180" s="150">
        <v>0.55014557081191895</v>
      </c>
      <c r="AF180" s="150">
        <v>0.449854429188081</v>
      </c>
      <c r="AG180" s="149">
        <f t="shared" si="30"/>
        <v>36407.552032814281</v>
      </c>
      <c r="AH180" s="149">
        <f t="shared" si="31"/>
        <v>29770.481499443522</v>
      </c>
      <c r="AI180" s="139"/>
      <c r="AJ180" s="11"/>
      <c r="AK180" s="12"/>
      <c r="AL180" s="17"/>
    </row>
    <row r="181" spans="1:38" x14ac:dyDescent="0.2">
      <c r="A181" s="125" t="s">
        <v>50</v>
      </c>
      <c r="B181" s="4"/>
      <c r="C181" s="5"/>
      <c r="D181" s="29">
        <v>9419.2651006711403</v>
      </c>
      <c r="E181" s="4" t="s">
        <v>90</v>
      </c>
      <c r="F181" s="4" t="s">
        <v>168</v>
      </c>
      <c r="G181" s="4">
        <v>2012.7668924037901</v>
      </c>
      <c r="H181" s="3" t="s">
        <v>229</v>
      </c>
      <c r="I181" s="13">
        <v>2014.1230552008799</v>
      </c>
      <c r="J181" s="13">
        <f t="shared" si="28"/>
        <v>6.8769447991201105</v>
      </c>
      <c r="K181" s="13"/>
      <c r="L181" s="24">
        <v>38958</v>
      </c>
      <c r="M181" s="23">
        <v>1</v>
      </c>
      <c r="N181" s="16"/>
      <c r="O181" s="16"/>
      <c r="P181" s="16"/>
      <c r="Q181" s="16"/>
      <c r="R181" s="16"/>
      <c r="S181" s="16"/>
      <c r="T181" s="16"/>
      <c r="U181" s="16"/>
      <c r="V181" s="49"/>
      <c r="W181" s="49"/>
      <c r="X181" s="49"/>
      <c r="Y181" s="164" t="s">
        <v>220</v>
      </c>
      <c r="Z181" s="13"/>
      <c r="AA181" s="138">
        <v>116948.197609173</v>
      </c>
      <c r="AB181" s="138" t="s">
        <v>221</v>
      </c>
      <c r="AC181" s="149">
        <v>55145.482129031901</v>
      </c>
      <c r="AD181" s="149">
        <f t="shared" si="29"/>
        <v>893481.18967742019</v>
      </c>
      <c r="AE181" s="150">
        <v>0.54858837281469397</v>
      </c>
      <c r="AF181" s="150">
        <v>0.45141162718530597</v>
      </c>
      <c r="AG181" s="149">
        <f t="shared" si="30"/>
        <v>30252.170309247398</v>
      </c>
      <c r="AH181" s="149">
        <f t="shared" si="31"/>
        <v>24893.311819784503</v>
      </c>
      <c r="AI181" s="139"/>
      <c r="AJ181" s="11"/>
      <c r="AK181" s="12"/>
      <c r="AL181" s="17"/>
    </row>
    <row r="182" spans="1:38" x14ac:dyDescent="0.2">
      <c r="A182" s="125" t="s">
        <v>52</v>
      </c>
      <c r="B182" s="4"/>
      <c r="C182" s="5"/>
      <c r="D182" s="29">
        <v>9511.4563758389304</v>
      </c>
      <c r="E182" s="4" t="s">
        <v>90</v>
      </c>
      <c r="F182" s="4" t="s">
        <v>168</v>
      </c>
      <c r="G182" s="4">
        <v>2012.82762363507</v>
      </c>
      <c r="H182" s="3" t="s">
        <v>230</v>
      </c>
      <c r="I182" s="13">
        <v>2014.19344178495</v>
      </c>
      <c r="J182" s="13">
        <f t="shared" si="28"/>
        <v>6.8065582150500177</v>
      </c>
      <c r="K182" s="13"/>
      <c r="L182" s="24">
        <v>38958</v>
      </c>
      <c r="M182" s="23">
        <v>1</v>
      </c>
      <c r="N182" s="16"/>
      <c r="O182" s="16"/>
      <c r="P182" s="16"/>
      <c r="Q182" s="16"/>
      <c r="R182" s="16"/>
      <c r="S182" s="16"/>
      <c r="T182" s="16"/>
      <c r="U182" s="16"/>
      <c r="V182" s="49"/>
      <c r="W182" s="49"/>
      <c r="X182" s="49"/>
      <c r="Y182" s="164" t="s">
        <v>220</v>
      </c>
      <c r="Z182" s="13"/>
      <c r="AA182" s="138">
        <v>117132.48889973199</v>
      </c>
      <c r="AB182" s="138" t="s">
        <v>221</v>
      </c>
      <c r="AC182" s="149">
        <v>44112.930725806902</v>
      </c>
      <c r="AD182" s="149">
        <f t="shared" si="29"/>
        <v>937594.12040322705</v>
      </c>
      <c r="AE182" s="150">
        <v>0.54703117481746999</v>
      </c>
      <c r="AF182" s="150">
        <v>0.45296882518253001</v>
      </c>
      <c r="AG182" s="149">
        <f t="shared" si="30"/>
        <v>24131.148319579817</v>
      </c>
      <c r="AH182" s="149">
        <f t="shared" si="31"/>
        <v>19981.782406227085</v>
      </c>
      <c r="AI182" s="139"/>
      <c r="AJ182" s="11"/>
      <c r="AK182" s="12"/>
      <c r="AL182" s="17"/>
    </row>
    <row r="183" spans="1:38" x14ac:dyDescent="0.2">
      <c r="A183" s="125" t="s">
        <v>54</v>
      </c>
      <c r="B183" s="4"/>
      <c r="C183" s="5"/>
      <c r="D183" s="29">
        <v>9603.6476510067205</v>
      </c>
      <c r="E183" s="4" t="s">
        <v>90</v>
      </c>
      <c r="F183" s="4" t="s">
        <v>168</v>
      </c>
      <c r="G183" s="4">
        <v>2012.88835486634</v>
      </c>
      <c r="H183" s="3" t="s">
        <v>231</v>
      </c>
      <c r="I183" s="13">
        <v>2014.2638283690101</v>
      </c>
      <c r="J183" s="13">
        <f t="shared" si="28"/>
        <v>6.7361716309899293</v>
      </c>
      <c r="K183" s="13"/>
      <c r="L183" s="24">
        <v>38958</v>
      </c>
      <c r="M183" s="23">
        <v>1</v>
      </c>
      <c r="N183" s="16"/>
      <c r="O183" s="16"/>
      <c r="P183" s="16"/>
      <c r="Q183" s="16"/>
      <c r="R183" s="16"/>
      <c r="S183" s="16"/>
      <c r="T183" s="16"/>
      <c r="U183" s="16"/>
      <c r="V183" s="49"/>
      <c r="W183" s="49"/>
      <c r="X183" s="49"/>
      <c r="Y183" s="164" t="s">
        <v>320</v>
      </c>
      <c r="Z183" s="13"/>
      <c r="AA183" s="138">
        <v>117316.78019029</v>
      </c>
      <c r="AB183" s="138" t="s">
        <v>221</v>
      </c>
      <c r="AC183" s="149">
        <v>33080.379322580797</v>
      </c>
      <c r="AD183" s="149">
        <f t="shared" si="29"/>
        <v>970674.49972580781</v>
      </c>
      <c r="AE183" s="150">
        <v>0.54547397682024501</v>
      </c>
      <c r="AF183" s="150">
        <v>0.45452602317975499</v>
      </c>
      <c r="AG183" s="149">
        <f t="shared" si="30"/>
        <v>18044.486063810349</v>
      </c>
      <c r="AH183" s="149">
        <f t="shared" si="31"/>
        <v>15035.893258770448</v>
      </c>
      <c r="AI183" s="139"/>
      <c r="AJ183" s="11"/>
      <c r="AK183" s="12"/>
      <c r="AL183" s="17"/>
    </row>
    <row r="184" spans="1:38" x14ac:dyDescent="0.2">
      <c r="A184" s="125"/>
      <c r="B184" s="4"/>
      <c r="C184" s="5"/>
      <c r="D184" s="29">
        <v>9695.8389261744996</v>
      </c>
      <c r="E184" s="4"/>
      <c r="F184" s="4"/>
      <c r="G184" s="4">
        <v>2012.94908609762</v>
      </c>
      <c r="H184" s="3"/>
      <c r="I184" s="13">
        <v>2014.3342149530799</v>
      </c>
      <c r="J184" s="13"/>
      <c r="K184" s="13"/>
      <c r="L184" s="24"/>
      <c r="M184" s="23"/>
      <c r="N184" s="16"/>
      <c r="O184" s="16"/>
      <c r="P184" s="16"/>
      <c r="Q184" s="16"/>
      <c r="R184" s="16"/>
      <c r="S184" s="16"/>
      <c r="T184" s="16"/>
      <c r="U184" s="16"/>
      <c r="V184" s="49"/>
      <c r="W184" s="49"/>
      <c r="X184" s="49"/>
      <c r="Y184" s="164" t="s">
        <v>321</v>
      </c>
      <c r="Z184" s="13"/>
      <c r="AA184" s="138">
        <v>117501.071480849</v>
      </c>
      <c r="AB184" s="138"/>
      <c r="AC184" s="149">
        <v>22047.827919354801</v>
      </c>
      <c r="AD184" s="149">
        <f t="shared" si="29"/>
        <v>992722.32764516259</v>
      </c>
      <c r="AE184" s="150">
        <v>0.54391677882302103</v>
      </c>
      <c r="AF184" s="150">
        <v>0.45608322117697903</v>
      </c>
      <c r="AG184" s="149">
        <f t="shared" si="30"/>
        <v>11992.183541939732</v>
      </c>
      <c r="AH184" s="149">
        <f t="shared" si="31"/>
        <v>10055.644377415068</v>
      </c>
      <c r="AI184" s="139"/>
      <c r="AJ184" s="11"/>
      <c r="AK184" s="12"/>
      <c r="AL184" s="17"/>
    </row>
    <row r="185" spans="1:38" x14ac:dyDescent="0.2">
      <c r="A185" s="125" t="s">
        <v>56</v>
      </c>
      <c r="B185" s="4"/>
      <c r="C185" s="5"/>
      <c r="D185" s="30">
        <v>9788.0302013422897</v>
      </c>
      <c r="E185" s="4" t="s">
        <v>90</v>
      </c>
      <c r="F185" s="4" t="s">
        <v>168</v>
      </c>
      <c r="G185" s="4">
        <v>2013.0098173289</v>
      </c>
      <c r="H185" s="3" t="s">
        <v>234</v>
      </c>
      <c r="I185" s="13">
        <v>2014.40460153715</v>
      </c>
      <c r="J185" s="13">
        <f t="shared" ref="J185:J203" si="32">2021-I185</f>
        <v>6.5953984628499711</v>
      </c>
      <c r="K185" s="13"/>
      <c r="L185" s="24">
        <v>38958</v>
      </c>
      <c r="M185" s="23">
        <v>1</v>
      </c>
      <c r="N185" s="16"/>
      <c r="O185" s="16"/>
      <c r="P185" s="16"/>
      <c r="Q185" s="16"/>
      <c r="R185" s="16"/>
      <c r="S185" s="16"/>
      <c r="T185" s="16"/>
      <c r="U185" s="16"/>
      <c r="V185" s="49"/>
      <c r="W185" s="49"/>
      <c r="X185" s="49"/>
      <c r="Y185" s="164" t="s">
        <v>322</v>
      </c>
      <c r="Z185" s="13"/>
      <c r="AA185" s="138">
        <v>117685.36277140801</v>
      </c>
      <c r="AB185" s="138"/>
      <c r="AC185" s="149">
        <v>11015.276516128901</v>
      </c>
      <c r="AD185" s="149">
        <f t="shared" si="29"/>
        <v>1003737.6041612915</v>
      </c>
      <c r="AE185" s="150">
        <v>0.54235958082579605</v>
      </c>
      <c r="AF185" s="150">
        <v>0.45764041917420401</v>
      </c>
      <c r="AG185" s="149">
        <f t="shared" si="30"/>
        <v>5974.2407539679061</v>
      </c>
      <c r="AH185" s="149">
        <f t="shared" si="31"/>
        <v>5041.0357621609946</v>
      </c>
      <c r="AI185" s="139"/>
      <c r="AJ185" s="11"/>
      <c r="AK185" s="12"/>
      <c r="AL185" s="17"/>
    </row>
    <row r="186" spans="1:38" x14ac:dyDescent="0.2">
      <c r="A186" s="125" t="s">
        <v>58</v>
      </c>
      <c r="B186" s="4"/>
      <c r="C186" s="5"/>
      <c r="D186" s="4">
        <v>9880.2214765100707</v>
      </c>
      <c r="E186" s="4" t="s">
        <v>90</v>
      </c>
      <c r="F186" s="4" t="s">
        <v>168</v>
      </c>
      <c r="G186" s="4">
        <v>2013.07054856018</v>
      </c>
      <c r="H186" s="3" t="s">
        <v>236</v>
      </c>
      <c r="I186" s="13">
        <v>2014.4749881212199</v>
      </c>
      <c r="J186" s="13">
        <f t="shared" si="32"/>
        <v>6.5250118787801057</v>
      </c>
      <c r="K186" s="13"/>
      <c r="L186" s="24">
        <v>38958</v>
      </c>
      <c r="M186" s="23">
        <v>1</v>
      </c>
      <c r="N186" s="16"/>
      <c r="O186" s="16"/>
      <c r="P186" s="23">
        <v>1</v>
      </c>
      <c r="Q186" s="16"/>
      <c r="R186" s="16"/>
      <c r="S186" s="16"/>
      <c r="T186" s="16"/>
      <c r="U186" s="16"/>
      <c r="V186" s="49"/>
      <c r="W186" s="49"/>
      <c r="X186" s="49"/>
      <c r="Y186" s="164" t="s">
        <v>209</v>
      </c>
      <c r="Z186" s="144"/>
      <c r="AA186" s="138">
        <v>117869.65406196599</v>
      </c>
      <c r="AB186" s="138"/>
      <c r="AC186" s="149">
        <v>-17.2748870971263</v>
      </c>
      <c r="AD186" s="149">
        <f t="shared" si="29"/>
        <v>1003720.3292741944</v>
      </c>
      <c r="AE186" s="150">
        <v>0.54080238282857096</v>
      </c>
      <c r="AF186" s="150">
        <v>0.45919761717142799</v>
      </c>
      <c r="AG186" s="149">
        <f>AE186*AC186</f>
        <v>-9.3423001052204384</v>
      </c>
      <c r="AH186" s="165">
        <f>AC186*AF186</f>
        <v>-7.9325869919058434</v>
      </c>
      <c r="AI186" s="139"/>
      <c r="AJ186" s="11"/>
      <c r="AK186" s="12"/>
      <c r="AL186" s="17"/>
    </row>
    <row r="187" spans="1:38" x14ac:dyDescent="0.2">
      <c r="A187" s="125" t="s">
        <v>60</v>
      </c>
      <c r="B187" s="4"/>
      <c r="C187" s="5"/>
      <c r="D187" s="4">
        <v>9972.4127516778608</v>
      </c>
      <c r="E187" s="4" t="s">
        <v>237</v>
      </c>
      <c r="F187" s="4" t="s">
        <v>238</v>
      </c>
      <c r="G187" s="4">
        <v>2013.13127979146</v>
      </c>
      <c r="H187" s="3" t="s">
        <v>323</v>
      </c>
      <c r="I187" s="13">
        <v>2014.54537470528</v>
      </c>
      <c r="J187" s="13">
        <f t="shared" si="32"/>
        <v>6.4546252947200173</v>
      </c>
      <c r="K187" s="13"/>
      <c r="L187" s="24">
        <v>38958</v>
      </c>
      <c r="M187" s="23">
        <v>1</v>
      </c>
      <c r="N187" s="16"/>
      <c r="O187" s="16"/>
      <c r="P187" s="23">
        <v>1</v>
      </c>
      <c r="Q187" s="16"/>
      <c r="R187" s="16"/>
      <c r="S187" s="16"/>
      <c r="T187" s="16"/>
      <c r="U187" s="16"/>
      <c r="V187" s="49"/>
      <c r="W187" s="49"/>
      <c r="X187" s="49"/>
      <c r="Y187" s="164" t="s">
        <v>209</v>
      </c>
      <c r="Z187" s="13"/>
      <c r="AA187" s="138">
        <v>118053.945352525</v>
      </c>
      <c r="AB187" s="138"/>
      <c r="AC187" s="149">
        <v>-11049.8262903222</v>
      </c>
      <c r="AD187" s="149">
        <f t="shared" si="29"/>
        <v>992670.5029838722</v>
      </c>
      <c r="AE187" s="150">
        <v>0.53924518483134698</v>
      </c>
      <c r="AF187" s="150">
        <v>0.46075481516865302</v>
      </c>
      <c r="AG187" s="149">
        <f>AE187*AC187</f>
        <v>-5958.5656202790724</v>
      </c>
      <c r="AH187" s="165">
        <f>AC187*AF187</f>
        <v>-5091.2606700431279</v>
      </c>
      <c r="AI187" s="139"/>
      <c r="AJ187" s="11"/>
      <c r="AK187" s="12"/>
      <c r="AL187" s="17"/>
    </row>
    <row r="188" spans="1:38" x14ac:dyDescent="0.2">
      <c r="A188" s="125" t="s">
        <v>115</v>
      </c>
      <c r="B188" s="4"/>
      <c r="C188" s="5"/>
      <c r="D188" s="4">
        <v>10064.6040268456</v>
      </c>
      <c r="E188" s="4" t="s">
        <v>237</v>
      </c>
      <c r="F188" s="4" t="s">
        <v>238</v>
      </c>
      <c r="G188" s="4">
        <v>2013.19201102274</v>
      </c>
      <c r="H188" s="3" t="s">
        <v>324</v>
      </c>
      <c r="I188" s="13">
        <v>2014.6157612893501</v>
      </c>
      <c r="J188" s="13">
        <f t="shared" si="32"/>
        <v>6.3842387106499245</v>
      </c>
      <c r="K188" s="13"/>
      <c r="L188" s="24"/>
      <c r="M188" s="23"/>
      <c r="N188" s="80"/>
      <c r="O188" s="80"/>
      <c r="P188" s="23"/>
      <c r="Q188" s="7"/>
      <c r="R188" s="7"/>
      <c r="S188" s="7"/>
      <c r="T188" s="7"/>
      <c r="U188" s="7"/>
      <c r="V188" s="7"/>
      <c r="W188" s="7"/>
      <c r="X188" s="7"/>
      <c r="Y188" s="144"/>
      <c r="Z188" s="13"/>
      <c r="AA188" s="7">
        <v>118238.236643084</v>
      </c>
      <c r="AB188" s="138"/>
      <c r="AC188" s="149">
        <v>-22082.377693548198</v>
      </c>
      <c r="AD188" s="149"/>
      <c r="AE188" s="150">
        <v>0.537687986834122</v>
      </c>
      <c r="AF188" s="150">
        <v>0.462312013165878</v>
      </c>
      <c r="AG188" s="149">
        <f>AE188*AC188</f>
        <v>-11873.429206554652</v>
      </c>
      <c r="AH188" s="165">
        <f>AC188*AF188</f>
        <v>-10208.948486993546</v>
      </c>
      <c r="AI188" s="139"/>
      <c r="AJ188" s="11"/>
      <c r="AK188" s="12"/>
      <c r="AL188" s="17"/>
    </row>
    <row r="189" spans="1:38" x14ac:dyDescent="0.2">
      <c r="A189" s="125" t="s">
        <v>117</v>
      </c>
      <c r="B189" s="4"/>
      <c r="C189" s="5"/>
      <c r="D189" s="4">
        <v>10156.795302013399</v>
      </c>
      <c r="E189" s="4" t="s">
        <v>237</v>
      </c>
      <c r="F189" s="4" t="s">
        <v>238</v>
      </c>
      <c r="G189" s="4">
        <v>2013.2527422540199</v>
      </c>
      <c r="H189" s="3" t="s">
        <v>325</v>
      </c>
      <c r="I189" s="13">
        <v>2014.6861478734199</v>
      </c>
      <c r="J189" s="13">
        <f t="shared" si="32"/>
        <v>6.3138521265800591</v>
      </c>
      <c r="K189" s="13"/>
      <c r="L189" s="24">
        <v>39856</v>
      </c>
      <c r="M189" s="23">
        <v>1</v>
      </c>
      <c r="N189" s="16"/>
      <c r="O189" s="16"/>
      <c r="P189" s="16"/>
      <c r="Q189" s="23">
        <v>1</v>
      </c>
      <c r="R189" s="16"/>
      <c r="S189" s="16"/>
      <c r="T189" s="16"/>
      <c r="U189" s="16"/>
      <c r="V189" s="49"/>
      <c r="W189" s="49"/>
      <c r="X189" s="49"/>
      <c r="Y189" s="14"/>
      <c r="Z189" s="13"/>
      <c r="AA189" s="57">
        <v>118422.52793364201</v>
      </c>
      <c r="AB189" s="57"/>
      <c r="AC189" s="149">
        <v>-33114.929096774104</v>
      </c>
      <c r="AD189" s="149"/>
      <c r="AE189" s="150">
        <v>0.53613078883689802</v>
      </c>
      <c r="AF189" s="150">
        <v>0.46386921116310198</v>
      </c>
      <c r="AG189" s="165"/>
      <c r="AH189" s="165">
        <f t="shared" ref="AH189:AH198" si="33">AC189*AF189</f>
        <v>-15360.996037842657</v>
      </c>
      <c r="AI189" s="139"/>
      <c r="AJ189" s="11"/>
      <c r="AK189" s="12"/>
      <c r="AL189" s="17"/>
    </row>
    <row r="190" spans="1:38" x14ac:dyDescent="0.2">
      <c r="A190" s="125" t="s">
        <v>121</v>
      </c>
      <c r="B190" s="4"/>
      <c r="C190" s="5"/>
      <c r="D190" s="4">
        <v>10248.9865771812</v>
      </c>
      <c r="E190" s="4" t="s">
        <v>237</v>
      </c>
      <c r="F190" s="4" t="s">
        <v>238</v>
      </c>
      <c r="G190" s="4">
        <v>2013.3134734852999</v>
      </c>
      <c r="H190" s="3" t="s">
        <v>326</v>
      </c>
      <c r="I190" s="13">
        <v>2014.75653445748</v>
      </c>
      <c r="J190" s="13">
        <f t="shared" si="32"/>
        <v>6.2434655425199708</v>
      </c>
      <c r="K190" s="13"/>
      <c r="L190" s="24">
        <v>39856</v>
      </c>
      <c r="M190" s="23">
        <v>1</v>
      </c>
      <c r="N190" s="16"/>
      <c r="O190" s="16"/>
      <c r="P190" s="16"/>
      <c r="Q190" s="23">
        <v>1</v>
      </c>
      <c r="R190" s="16"/>
      <c r="S190" s="16"/>
      <c r="T190" s="16"/>
      <c r="U190" s="16"/>
      <c r="V190" s="49"/>
      <c r="W190" s="49"/>
      <c r="X190" s="49"/>
      <c r="Y190" s="14"/>
      <c r="Z190" s="70"/>
      <c r="AA190" s="57">
        <v>118606.819224201</v>
      </c>
      <c r="AB190" s="61"/>
      <c r="AC190" s="149">
        <v>-44147.4805000001</v>
      </c>
      <c r="AD190" s="149"/>
      <c r="AE190" s="150">
        <v>0.53457359083967304</v>
      </c>
      <c r="AF190" s="150">
        <v>0.46542640916032701</v>
      </c>
      <c r="AG190" s="165"/>
      <c r="AH190" s="165">
        <f t="shared" si="33"/>
        <v>-20547.403322590606</v>
      </c>
      <c r="AI190" s="139"/>
      <c r="AJ190" s="11"/>
      <c r="AK190" s="12"/>
      <c r="AL190" s="17"/>
    </row>
    <row r="191" spans="1:38" x14ac:dyDescent="0.2">
      <c r="A191" s="125" t="s">
        <v>125</v>
      </c>
      <c r="B191" s="4"/>
      <c r="C191" s="5"/>
      <c r="D191" s="4">
        <v>10341.177852348999</v>
      </c>
      <c r="E191" s="4" t="s">
        <v>237</v>
      </c>
      <c r="F191" s="4" t="s">
        <v>238</v>
      </c>
      <c r="G191" s="4">
        <v>2013.3742047165799</v>
      </c>
      <c r="H191" s="3" t="s">
        <v>327</v>
      </c>
      <c r="I191" s="13">
        <v>2014.8269210415499</v>
      </c>
      <c r="J191" s="13">
        <f t="shared" si="32"/>
        <v>6.1730789584501053</v>
      </c>
      <c r="K191" s="13"/>
      <c r="L191" s="24">
        <v>39861</v>
      </c>
      <c r="M191" s="23">
        <v>1</v>
      </c>
      <c r="N191" s="16"/>
      <c r="O191" s="16"/>
      <c r="P191" s="16"/>
      <c r="Q191" s="23">
        <v>1</v>
      </c>
      <c r="R191" s="16"/>
      <c r="S191" s="16"/>
      <c r="T191" s="16"/>
      <c r="U191" s="16"/>
      <c r="V191" s="49"/>
      <c r="W191" s="49"/>
      <c r="X191" s="49"/>
      <c r="Y191" s="14"/>
      <c r="Z191" s="70"/>
      <c r="AA191" s="57">
        <v>118791.11051476</v>
      </c>
      <c r="AB191" s="61"/>
      <c r="AC191" s="149">
        <v>-55180.031903226103</v>
      </c>
      <c r="AD191" s="149"/>
      <c r="AE191" s="150">
        <v>0.53301639284244895</v>
      </c>
      <c r="AF191" s="150">
        <v>0.466983607157551</v>
      </c>
      <c r="AG191" s="165"/>
      <c r="AH191" s="165">
        <f t="shared" si="33"/>
        <v>-25768.17034123727</v>
      </c>
      <c r="AI191" s="139"/>
      <c r="AJ191" s="11"/>
      <c r="AK191" s="12"/>
      <c r="AL191" s="17"/>
    </row>
    <row r="192" spans="1:38" x14ac:dyDescent="0.2">
      <c r="A192" s="125" t="s">
        <v>127</v>
      </c>
      <c r="B192" s="4"/>
      <c r="C192" s="5"/>
      <c r="D192" s="4">
        <v>10433.3691275168</v>
      </c>
      <c r="E192" s="4" t="s">
        <v>237</v>
      </c>
      <c r="F192" s="4" t="s">
        <v>238</v>
      </c>
      <c r="G192" s="4">
        <v>2013.4349359478599</v>
      </c>
      <c r="H192" s="3" t="s">
        <v>328</v>
      </c>
      <c r="I192" s="13">
        <v>2014.89730762562</v>
      </c>
      <c r="J192" s="13">
        <f t="shared" si="32"/>
        <v>6.1026923743800126</v>
      </c>
      <c r="K192" s="13"/>
      <c r="L192" s="24">
        <v>39856</v>
      </c>
      <c r="M192" s="23">
        <v>1</v>
      </c>
      <c r="N192" s="16"/>
      <c r="O192" s="16"/>
      <c r="P192" s="16"/>
      <c r="Q192" s="23">
        <v>1</v>
      </c>
      <c r="R192" s="16"/>
      <c r="S192" s="16"/>
      <c r="T192" s="16"/>
      <c r="U192" s="16"/>
      <c r="V192" s="49"/>
      <c r="W192" s="49"/>
      <c r="X192" s="49"/>
      <c r="Y192" s="14"/>
      <c r="Z192" s="70"/>
      <c r="AA192" s="57">
        <v>118975.401805318</v>
      </c>
      <c r="AB192" s="61"/>
      <c r="AC192" s="149">
        <v>-66212.583306451197</v>
      </c>
      <c r="AD192" s="149"/>
      <c r="AE192" s="150">
        <v>0.53145919484522397</v>
      </c>
      <c r="AF192" s="150">
        <v>0.46854080515477597</v>
      </c>
      <c r="AG192" s="165"/>
      <c r="AH192" s="165">
        <f t="shared" si="33"/>
        <v>-31023.297093782323</v>
      </c>
      <c r="AI192" s="139"/>
      <c r="AJ192" s="11"/>
      <c r="AK192" s="12"/>
      <c r="AL192" s="17"/>
    </row>
    <row r="193" spans="1:38" x14ac:dyDescent="0.2">
      <c r="A193" s="125" t="s">
        <v>130</v>
      </c>
      <c r="B193" s="4"/>
      <c r="C193" s="5"/>
      <c r="D193" s="4">
        <v>10525.560402684599</v>
      </c>
      <c r="E193" s="4" t="s">
        <v>237</v>
      </c>
      <c r="F193" s="4" t="s">
        <v>238</v>
      </c>
      <c r="G193" s="4">
        <v>2013.4956671791399</v>
      </c>
      <c r="H193" s="3" t="s">
        <v>329</v>
      </c>
      <c r="I193" s="13">
        <v>2014.9676942096801</v>
      </c>
      <c r="J193" s="13">
        <f t="shared" si="32"/>
        <v>6.0323057903199242</v>
      </c>
      <c r="K193" s="13"/>
      <c r="L193" s="24">
        <v>39861</v>
      </c>
      <c r="M193" s="23">
        <v>1</v>
      </c>
      <c r="N193" s="16"/>
      <c r="O193" s="16"/>
      <c r="P193" s="16"/>
      <c r="Q193" s="23">
        <v>1</v>
      </c>
      <c r="R193" s="16"/>
      <c r="S193" s="16"/>
      <c r="T193" s="16"/>
      <c r="U193" s="16"/>
      <c r="V193" s="49"/>
      <c r="W193" s="49"/>
      <c r="X193" s="49"/>
      <c r="Y193" s="14"/>
      <c r="Z193" s="70"/>
      <c r="AA193" s="57">
        <v>119159.693095877</v>
      </c>
      <c r="AB193" s="61"/>
      <c r="AC193" s="149">
        <v>-77245.134709677106</v>
      </c>
      <c r="AD193" s="149"/>
      <c r="AE193" s="150">
        <v>0.52990199684799899</v>
      </c>
      <c r="AF193" s="150">
        <v>0.47009800315200001</v>
      </c>
      <c r="AG193" s="165"/>
      <c r="AH193" s="165">
        <f t="shared" si="33"/>
        <v>-36312.783580226453</v>
      </c>
      <c r="AI193" s="139"/>
      <c r="AJ193" s="11"/>
      <c r="AK193" s="12"/>
      <c r="AL193" s="17"/>
    </row>
    <row r="194" spans="1:38" x14ac:dyDescent="0.2">
      <c r="A194" s="125" t="s">
        <v>135</v>
      </c>
      <c r="B194" s="4"/>
      <c r="C194" s="5"/>
      <c r="D194" s="4">
        <v>10617.7516778523</v>
      </c>
      <c r="E194" s="4" t="s">
        <v>237</v>
      </c>
      <c r="F194" s="4" t="s">
        <v>238</v>
      </c>
      <c r="G194" s="4">
        <v>2013.5563984104101</v>
      </c>
      <c r="H194" s="3" t="s">
        <v>330</v>
      </c>
      <c r="I194" s="13">
        <v>2015.0380807937499</v>
      </c>
      <c r="J194" s="13">
        <f t="shared" si="32"/>
        <v>5.9619192062500588</v>
      </c>
      <c r="K194" s="13"/>
      <c r="L194" s="24">
        <v>39861</v>
      </c>
      <c r="M194" s="23">
        <v>1</v>
      </c>
      <c r="N194" s="16"/>
      <c r="O194" s="16"/>
      <c r="P194" s="16"/>
      <c r="Q194" s="23">
        <v>1</v>
      </c>
      <c r="R194" s="16"/>
      <c r="S194" s="16"/>
      <c r="T194" s="16"/>
      <c r="U194" s="16"/>
      <c r="V194" s="49"/>
      <c r="W194" s="49"/>
      <c r="X194" s="49"/>
      <c r="Y194" s="14"/>
      <c r="Z194" s="70"/>
      <c r="AA194" s="154">
        <v>119343.984386436</v>
      </c>
      <c r="AB194" s="151"/>
      <c r="AC194" s="149">
        <v>-88277.686112903102</v>
      </c>
      <c r="AD194" s="149"/>
      <c r="AE194" s="150">
        <v>0.52834479885077501</v>
      </c>
      <c r="AF194" s="150">
        <v>0.47165520114922499</v>
      </c>
      <c r="AG194" s="165"/>
      <c r="AH194" s="165">
        <f t="shared" si="33"/>
        <v>-41636.629800569455</v>
      </c>
      <c r="AI194" s="139"/>
      <c r="AJ194" s="11"/>
      <c r="AK194" s="12"/>
      <c r="AL194" s="17"/>
    </row>
    <row r="195" spans="1:38" x14ac:dyDescent="0.2">
      <c r="A195" s="125" t="s">
        <v>137</v>
      </c>
      <c r="B195" s="4"/>
      <c r="C195" s="5"/>
      <c r="D195" s="4">
        <v>10709.9429530201</v>
      </c>
      <c r="E195" s="4" t="s">
        <v>237</v>
      </c>
      <c r="F195" s="4" t="s">
        <v>238</v>
      </c>
      <c r="G195" s="4">
        <v>2013.6171296416901</v>
      </c>
      <c r="H195" s="3" t="s">
        <v>331</v>
      </c>
      <c r="I195" s="13">
        <v>2015.10846737782</v>
      </c>
      <c r="J195" s="13">
        <f t="shared" si="32"/>
        <v>5.891532622179966</v>
      </c>
      <c r="K195" s="13"/>
      <c r="L195" s="24">
        <v>39856</v>
      </c>
      <c r="M195" s="23">
        <v>1</v>
      </c>
      <c r="N195" s="16"/>
      <c r="O195" s="16"/>
      <c r="P195" s="16"/>
      <c r="Q195" s="23">
        <v>1</v>
      </c>
      <c r="R195" s="16"/>
      <c r="S195" s="16"/>
      <c r="T195" s="16"/>
      <c r="U195" s="16"/>
      <c r="V195" s="49"/>
      <c r="W195" s="49"/>
      <c r="X195" s="49"/>
      <c r="Y195" s="14"/>
      <c r="Z195" s="70"/>
      <c r="AA195" s="154">
        <v>119528.275676994</v>
      </c>
      <c r="AB195" s="151"/>
      <c r="AC195" s="149">
        <v>-99310.237516129098</v>
      </c>
      <c r="AD195" s="149"/>
      <c r="AE195" s="150">
        <v>0.52678760085355003</v>
      </c>
      <c r="AF195" s="150">
        <v>0.47321239914645002</v>
      </c>
      <c r="AG195" s="165"/>
      <c r="AH195" s="165">
        <f t="shared" si="33"/>
        <v>-46994.83575481124</v>
      </c>
      <c r="AI195" s="139"/>
      <c r="AJ195" s="11"/>
      <c r="AK195" s="12"/>
      <c r="AL195" s="17"/>
    </row>
    <row r="196" spans="1:38" x14ac:dyDescent="0.2">
      <c r="A196" s="125" t="s">
        <v>139</v>
      </c>
      <c r="B196" s="4"/>
      <c r="C196" s="5"/>
      <c r="D196" s="4">
        <v>10802.134228187901</v>
      </c>
      <c r="E196" s="4" t="s">
        <v>237</v>
      </c>
      <c r="F196" s="4" t="s">
        <v>238</v>
      </c>
      <c r="G196" s="4">
        <v>2013.6778608729701</v>
      </c>
      <c r="H196" s="3" t="s">
        <v>332</v>
      </c>
      <c r="I196" s="13">
        <v>2015.1788539618799</v>
      </c>
      <c r="J196" s="13">
        <f t="shared" si="32"/>
        <v>5.821146038120105</v>
      </c>
      <c r="K196" s="13"/>
      <c r="L196" s="24">
        <v>39862</v>
      </c>
      <c r="M196" s="23">
        <v>1</v>
      </c>
      <c r="N196" s="16"/>
      <c r="O196" s="16"/>
      <c r="P196" s="16"/>
      <c r="Q196" s="23">
        <v>1</v>
      </c>
      <c r="R196" s="16"/>
      <c r="S196" s="16"/>
      <c r="T196" s="16"/>
      <c r="U196" s="16"/>
      <c r="V196" s="49"/>
      <c r="W196" s="49"/>
      <c r="X196" s="49"/>
      <c r="Y196" s="14"/>
      <c r="Z196" s="70"/>
      <c r="AA196" s="154">
        <v>119712.56696755299</v>
      </c>
      <c r="AB196" s="151"/>
      <c r="AC196" s="149">
        <v>-110342.78891935501</v>
      </c>
      <c r="AD196" s="149"/>
      <c r="AE196" s="150">
        <v>0.52523040285632605</v>
      </c>
      <c r="AF196" s="150">
        <v>0.474769597143674</v>
      </c>
      <c r="AG196" s="165"/>
      <c r="AH196" s="165">
        <f t="shared" si="33"/>
        <v>-52387.401442951632</v>
      </c>
      <c r="AI196" s="139"/>
      <c r="AJ196" s="11"/>
      <c r="AK196" s="12"/>
      <c r="AL196" s="17"/>
    </row>
    <row r="197" spans="1:38" x14ac:dyDescent="0.2">
      <c r="A197" s="125" t="s">
        <v>141</v>
      </c>
      <c r="B197" s="4"/>
      <c r="C197" s="5"/>
      <c r="D197" s="4">
        <v>10894.3255033557</v>
      </c>
      <c r="E197" s="4" t="s">
        <v>237</v>
      </c>
      <c r="F197" s="4" t="s">
        <v>238</v>
      </c>
      <c r="G197" s="4">
        <v>2013.7385921042501</v>
      </c>
      <c r="H197" s="3" t="s">
        <v>333</v>
      </c>
      <c r="I197" s="13">
        <v>2015.24924054595</v>
      </c>
      <c r="J197" s="13">
        <f t="shared" si="32"/>
        <v>5.7507594540500122</v>
      </c>
      <c r="K197" s="13"/>
      <c r="L197" s="24">
        <v>39861</v>
      </c>
      <c r="M197" s="23">
        <v>1</v>
      </c>
      <c r="N197" s="16"/>
      <c r="O197" s="16"/>
      <c r="P197" s="16"/>
      <c r="Q197" s="23">
        <v>1</v>
      </c>
      <c r="R197" s="16"/>
      <c r="S197" s="16"/>
      <c r="T197" s="16"/>
      <c r="U197" s="16"/>
      <c r="V197" s="49"/>
      <c r="W197" s="49"/>
      <c r="X197" s="49"/>
      <c r="Y197" s="14"/>
      <c r="Z197" s="70"/>
      <c r="AA197" s="154">
        <v>119896.858258112</v>
      </c>
      <c r="AB197" s="151"/>
      <c r="AC197" s="149">
        <v>-121375.34032258</v>
      </c>
      <c r="AD197" s="149"/>
      <c r="AE197" s="150">
        <v>0.52367320485910096</v>
      </c>
      <c r="AF197" s="150">
        <v>0.47632679514089898</v>
      </c>
      <c r="AG197" s="165"/>
      <c r="AH197" s="165">
        <f t="shared" si="33"/>
        <v>-57814.326864990457</v>
      </c>
      <c r="AI197" s="139"/>
      <c r="AJ197" s="11"/>
      <c r="AK197" s="12"/>
      <c r="AL197" s="17"/>
    </row>
    <row r="198" spans="1:38" x14ac:dyDescent="0.2">
      <c r="A198" s="125" t="s">
        <v>143</v>
      </c>
      <c r="B198" s="4"/>
      <c r="C198" s="5"/>
      <c r="D198" s="4">
        <v>10986.516778523501</v>
      </c>
      <c r="E198" s="4" t="s">
        <v>237</v>
      </c>
      <c r="F198" s="4" t="s">
        <v>238</v>
      </c>
      <c r="G198" s="4">
        <v>2013.7993233355301</v>
      </c>
      <c r="H198" s="3" t="s">
        <v>334</v>
      </c>
      <c r="I198" s="13">
        <v>2015.3196271300201</v>
      </c>
      <c r="J198" s="13">
        <f t="shared" si="32"/>
        <v>5.6803728699799194</v>
      </c>
      <c r="K198" s="13"/>
      <c r="L198" s="24">
        <v>39884</v>
      </c>
      <c r="M198" s="23">
        <v>1</v>
      </c>
      <c r="N198" s="16"/>
      <c r="O198" s="16"/>
      <c r="P198" s="16"/>
      <c r="Q198" s="23">
        <v>1</v>
      </c>
      <c r="R198" s="16"/>
      <c r="S198" s="16"/>
      <c r="T198" s="16"/>
      <c r="U198" s="16"/>
      <c r="V198" s="49"/>
      <c r="W198" s="49"/>
      <c r="X198" s="49"/>
      <c r="Y198" s="164" t="s">
        <v>252</v>
      </c>
      <c r="Z198" s="13"/>
      <c r="AA198" s="154">
        <v>120081.14954867</v>
      </c>
      <c r="AB198" s="151"/>
      <c r="AC198" s="149">
        <v>-132407.891725806</v>
      </c>
      <c r="AD198" s="149">
        <f>AD187+AC198</f>
        <v>860262.61125806626</v>
      </c>
      <c r="AE198" s="150">
        <v>0.52211600686187698</v>
      </c>
      <c r="AF198" s="150">
        <v>0.47788399313812302</v>
      </c>
      <c r="AG198" s="149">
        <f t="shared" ref="AG198:AG203" si="34">AC198*AE198</f>
        <v>-69132.279704877583</v>
      </c>
      <c r="AH198" s="149">
        <f t="shared" si="33"/>
        <v>-63275.612020928405</v>
      </c>
      <c r="AI198" s="139"/>
      <c r="AJ198" s="11"/>
      <c r="AK198" s="12"/>
      <c r="AL198" s="17"/>
    </row>
    <row r="199" spans="1:38" x14ac:dyDescent="0.2">
      <c r="A199" s="125" t="s">
        <v>145</v>
      </c>
      <c r="B199" s="4"/>
      <c r="C199" s="5"/>
      <c r="D199" s="4">
        <v>11078.7080536913</v>
      </c>
      <c r="E199" s="4" t="s">
        <v>237</v>
      </c>
      <c r="F199" s="4" t="s">
        <v>238</v>
      </c>
      <c r="G199" s="4">
        <v>2013.86005456681</v>
      </c>
      <c r="H199" s="3" t="s">
        <v>335</v>
      </c>
      <c r="I199" s="13">
        <v>2015.3900137140799</v>
      </c>
      <c r="J199" s="13">
        <f t="shared" si="32"/>
        <v>5.6099862859200584</v>
      </c>
      <c r="K199" s="13"/>
      <c r="L199" s="24">
        <v>39862</v>
      </c>
      <c r="M199" s="23">
        <v>1</v>
      </c>
      <c r="N199" s="16"/>
      <c r="O199" s="16"/>
      <c r="P199" s="16"/>
      <c r="Q199" s="23">
        <v>1</v>
      </c>
      <c r="R199" s="16"/>
      <c r="S199" s="16"/>
      <c r="T199" s="16"/>
      <c r="U199" s="16"/>
      <c r="V199" s="49"/>
      <c r="W199" s="49"/>
      <c r="X199" s="49"/>
      <c r="Y199" s="164" t="s">
        <v>252</v>
      </c>
      <c r="Z199" s="13"/>
      <c r="AA199" s="154">
        <v>120265.44083922901</v>
      </c>
      <c r="AB199" s="151"/>
      <c r="AC199" s="149">
        <v>-143440.44312903201</v>
      </c>
      <c r="AD199" s="149">
        <f>AD198+AC199</f>
        <v>716822.16812903422</v>
      </c>
      <c r="AE199" s="150">
        <v>0.520558808864652</v>
      </c>
      <c r="AF199" s="150">
        <v>0.479441191135348</v>
      </c>
      <c r="AG199" s="165">
        <f t="shared" si="34"/>
        <v>-74669.186218266754</v>
      </c>
      <c r="AH199" s="165">
        <f>AC199*AF199</f>
        <v>-68771.256910765253</v>
      </c>
      <c r="AI199" s="139"/>
      <c r="AJ199" s="11"/>
      <c r="AK199" s="12"/>
      <c r="AL199" s="17"/>
    </row>
    <row r="200" spans="1:38" x14ac:dyDescent="0.2">
      <c r="A200" s="125" t="s">
        <v>147</v>
      </c>
      <c r="B200" s="4"/>
      <c r="C200" s="5"/>
      <c r="D200" s="4">
        <v>11170.899328859099</v>
      </c>
      <c r="E200" s="4" t="s">
        <v>237</v>
      </c>
      <c r="F200" s="4" t="s">
        <v>238</v>
      </c>
      <c r="G200" s="4">
        <v>2013.92078579809</v>
      </c>
      <c r="H200" s="3" t="s">
        <v>336</v>
      </c>
      <c r="I200" s="13">
        <v>2015.46040029815</v>
      </c>
      <c r="J200" s="13">
        <f t="shared" si="32"/>
        <v>5.5395997018499656</v>
      </c>
      <c r="K200" s="13"/>
      <c r="L200" s="24">
        <v>39862</v>
      </c>
      <c r="M200" s="23">
        <v>1</v>
      </c>
      <c r="N200" s="16"/>
      <c r="O200" s="16"/>
      <c r="P200" s="16"/>
      <c r="Q200" s="23">
        <v>1</v>
      </c>
      <c r="R200" s="16"/>
      <c r="S200" s="16"/>
      <c r="T200" s="16"/>
      <c r="U200" s="16"/>
      <c r="V200" s="49"/>
      <c r="W200" s="49"/>
      <c r="X200" s="49"/>
      <c r="Y200" s="164" t="s">
        <v>252</v>
      </c>
      <c r="Z200" s="13"/>
      <c r="AA200" s="154">
        <v>120449.732129788</v>
      </c>
      <c r="AB200" s="151"/>
      <c r="AC200" s="149">
        <v>-154472.99453225799</v>
      </c>
      <c r="AD200" s="149">
        <f>AD199+AC200</f>
        <v>562349.17359677621</v>
      </c>
      <c r="AE200" s="150">
        <v>0.51900161086742702</v>
      </c>
      <c r="AF200" s="150">
        <v>0.48099838913257198</v>
      </c>
      <c r="AG200" s="165">
        <f t="shared" si="34"/>
        <v>-80171.732997757135</v>
      </c>
      <c r="AH200" s="165">
        <f>AC200*AF200</f>
        <v>-74301.261534500693</v>
      </c>
      <c r="AI200" s="139"/>
      <c r="AJ200" s="11"/>
      <c r="AK200" s="12"/>
      <c r="AL200" s="17"/>
    </row>
    <row r="201" spans="1:38" x14ac:dyDescent="0.2">
      <c r="A201" s="125" t="s">
        <v>149</v>
      </c>
      <c r="B201" s="4"/>
      <c r="C201" s="5"/>
      <c r="D201" s="4">
        <v>11263.0906040268</v>
      </c>
      <c r="E201" s="4" t="s">
        <v>237</v>
      </c>
      <c r="F201" s="4" t="s">
        <v>238</v>
      </c>
      <c r="G201" s="4">
        <v>2013.98151702937</v>
      </c>
      <c r="H201" s="3" t="s">
        <v>337</v>
      </c>
      <c r="I201" s="13">
        <v>2015.5307868822199</v>
      </c>
      <c r="J201" s="13">
        <f t="shared" si="32"/>
        <v>5.4692131177801002</v>
      </c>
      <c r="K201" s="13"/>
      <c r="L201" s="24">
        <v>39862</v>
      </c>
      <c r="M201" s="23">
        <v>1</v>
      </c>
      <c r="N201" s="16"/>
      <c r="O201" s="16"/>
      <c r="P201" s="16"/>
      <c r="Q201" s="23"/>
      <c r="R201" s="16"/>
      <c r="S201" s="16"/>
      <c r="T201" s="16"/>
      <c r="U201" s="16"/>
      <c r="V201" s="49"/>
      <c r="W201" s="49"/>
      <c r="X201" s="49"/>
      <c r="Y201" s="164" t="s">
        <v>252</v>
      </c>
      <c r="Z201" s="154"/>
      <c r="AA201" s="154">
        <v>120634.023420346</v>
      </c>
      <c r="AB201" s="151"/>
      <c r="AC201" s="149">
        <v>-165505.545935484</v>
      </c>
      <c r="AD201" s="149">
        <f>AD200+AC201</f>
        <v>396843.62766129221</v>
      </c>
      <c r="AE201" s="150">
        <v>0.51744441287020304</v>
      </c>
      <c r="AF201" s="150">
        <v>0.48255558712979701</v>
      </c>
      <c r="AG201" s="165">
        <f t="shared" si="34"/>
        <v>-85639.920043348931</v>
      </c>
      <c r="AH201" s="165">
        <f>AC201*AF201</f>
        <v>-79865.625892135067</v>
      </c>
      <c r="AI201" s="139"/>
      <c r="AJ201" s="11"/>
      <c r="AK201" s="12"/>
      <c r="AL201" s="17"/>
    </row>
    <row r="202" spans="1:38" x14ac:dyDescent="0.2">
      <c r="A202" s="125" t="s">
        <v>151</v>
      </c>
      <c r="B202" s="4"/>
      <c r="C202" s="5"/>
      <c r="D202" s="4">
        <v>11355.281879194599</v>
      </c>
      <c r="E202" s="4" t="s">
        <v>237</v>
      </c>
      <c r="F202" s="4" t="s">
        <v>238</v>
      </c>
      <c r="G202" s="4">
        <v>2014.04224826065</v>
      </c>
      <c r="H202" s="3" t="s">
        <v>338</v>
      </c>
      <c r="I202" s="13">
        <v>2015.60117346629</v>
      </c>
      <c r="J202" s="13">
        <f t="shared" si="32"/>
        <v>5.3988265337100074</v>
      </c>
      <c r="K202" s="13"/>
      <c r="L202" s="24">
        <v>39856</v>
      </c>
      <c r="M202" s="23">
        <v>1</v>
      </c>
      <c r="N202" s="16"/>
      <c r="O202" s="16"/>
      <c r="P202" s="16"/>
      <c r="Q202" s="23"/>
      <c r="R202" s="16"/>
      <c r="S202" s="16"/>
      <c r="T202" s="16"/>
      <c r="U202" s="16"/>
      <c r="V202" s="49"/>
      <c r="W202" s="49"/>
      <c r="X202" s="49"/>
      <c r="Y202" s="164" t="s">
        <v>252</v>
      </c>
      <c r="Z202" s="154"/>
      <c r="AA202" s="154">
        <v>120818.314710905</v>
      </c>
      <c r="AB202" s="151"/>
      <c r="AC202" s="149">
        <v>-176538.09733871001</v>
      </c>
      <c r="AD202" s="149">
        <f>AD201+AC202</f>
        <v>220305.5303225822</v>
      </c>
      <c r="AE202" s="150">
        <v>0.51588721487297795</v>
      </c>
      <c r="AF202" s="150">
        <v>0.48411278512702099</v>
      </c>
      <c r="AG202" s="165">
        <f t="shared" si="34"/>
        <v>-91073.747355041793</v>
      </c>
      <c r="AH202" s="165">
        <f>AC202*AF202</f>
        <v>-85464.349983668042</v>
      </c>
      <c r="AI202" s="139"/>
      <c r="AJ202" s="11"/>
      <c r="AK202" s="12"/>
      <c r="AL202" s="17"/>
    </row>
    <row r="203" spans="1:38" x14ac:dyDescent="0.2">
      <c r="A203" s="125" t="s">
        <v>153</v>
      </c>
      <c r="B203" s="4"/>
      <c r="C203" s="5"/>
      <c r="D203" s="4">
        <v>11447.4731543624</v>
      </c>
      <c r="E203" s="4" t="s">
        <v>237</v>
      </c>
      <c r="F203" s="4" t="s">
        <v>238</v>
      </c>
      <c r="G203" s="4">
        <v>2014.10297949193</v>
      </c>
      <c r="H203" s="3" t="s">
        <v>339</v>
      </c>
      <c r="I203" s="13">
        <v>2015.6715600503501</v>
      </c>
      <c r="J203" s="13">
        <f t="shared" si="32"/>
        <v>5.3284399496499191</v>
      </c>
      <c r="K203" s="13"/>
      <c r="L203" s="24">
        <v>39862</v>
      </c>
      <c r="M203" s="23">
        <v>1</v>
      </c>
      <c r="N203" s="16"/>
      <c r="O203" s="16"/>
      <c r="P203" s="16"/>
      <c r="Q203" s="23"/>
      <c r="R203" s="16"/>
      <c r="S203" s="16"/>
      <c r="T203" s="16"/>
      <c r="U203" s="16"/>
      <c r="V203" s="49"/>
      <c r="W203" s="49"/>
      <c r="X203" s="49"/>
      <c r="Y203" s="144"/>
      <c r="Z203" s="154"/>
      <c r="AA203" s="154">
        <v>121002.606001464</v>
      </c>
      <c r="AB203" s="151"/>
      <c r="AC203" s="149">
        <v>-187570.648741935</v>
      </c>
      <c r="AD203" s="149">
        <f>AD202+AC203</f>
        <v>32734.881580647198</v>
      </c>
      <c r="AE203" s="150">
        <v>0.51433001687575397</v>
      </c>
      <c r="AF203" s="150">
        <v>0.48566998312424597</v>
      </c>
      <c r="AG203" s="165">
        <f t="shared" si="34"/>
        <v>-96473.214932835544</v>
      </c>
      <c r="AH203" s="165">
        <f>AC203*AF203</f>
        <v>-91097.433809099442</v>
      </c>
      <c r="AI203" s="139"/>
      <c r="AJ203" s="11"/>
      <c r="AK203" s="12"/>
      <c r="AL203" s="17"/>
    </row>
  </sheetData>
  <mergeCells count="2">
    <mergeCell ref="AJ4:AL4"/>
    <mergeCell ref="AJ105:AL105"/>
  </mergeCells>
  <pageMargins left="0.7" right="0.7" top="0.75" bottom="0.75" header="0.3" footer="0.3"/>
  <pageSetup scale="67"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C3" sqref="C3"/>
    </sheetView>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ACC5372AE95F4C9DFEA9B4B4589736" ma:contentTypeVersion="19" ma:contentTypeDescription="Create a new document." ma:contentTypeScope="" ma:versionID="e0a5cffffc833f72d5d9c4a4ed9009a5">
  <xsd:schema xmlns:xsd="http://www.w3.org/2001/XMLSchema" xmlns:xs="http://www.w3.org/2001/XMLSchema" xmlns:p="http://schemas.microsoft.com/office/2006/metadata/properties" xmlns:ns2="fc500b1f-5bb4-4624-80ee-aa30356cf433" xmlns:ns3="d4a136de-438f-416b-aa39-a4a58e8c7b1c" targetNamespace="http://schemas.microsoft.com/office/2006/metadata/properties" ma:root="true" ma:fieldsID="f4ed63c5b1c378486a17986dbe405941" ns2:_="" ns3:_="">
    <xsd:import namespace="fc500b1f-5bb4-4624-80ee-aa30356cf433"/>
    <xsd:import namespace="d4a136de-438f-416b-aa39-a4a58e8c7b1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00b1f-5bb4-4624-80ee-aa30356cf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6be006e-79d8-4dce-a5c2-9b91ffe315b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a136de-438f-416b-aa39-a4a58e8c7b1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2311ef2-05e8-499e-9c2d-ce5faeca13f5}" ma:internalName="TaxCatchAll" ma:showField="CatchAllData" ma:web="d4a136de-438f-416b-aa39-a4a58e8c7b1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c500b1f-5bb4-4624-80ee-aa30356cf433">
      <Terms xmlns="http://schemas.microsoft.com/office/infopath/2007/PartnerControls"/>
    </lcf76f155ced4ddcb4097134ff3c332f>
    <TaxCatchAll xmlns="d4a136de-438f-416b-aa39-a4a58e8c7b1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2B74B-749B-4FD9-B509-784D47350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500b1f-5bb4-4624-80ee-aa30356cf433"/>
    <ds:schemaRef ds:uri="d4a136de-438f-416b-aa39-a4a58e8c7b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BD9C9-FDEF-466E-B801-4C12490DADDC}">
  <ds:schemaRefs>
    <ds:schemaRef ds:uri="http://schemas.microsoft.com/office/2006/metadata/properties"/>
    <ds:schemaRef ds:uri="http://schemas.microsoft.com/office/infopath/2007/PartnerControls"/>
    <ds:schemaRef ds:uri="fc500b1f-5bb4-4624-80ee-aa30356cf433"/>
    <ds:schemaRef ds:uri="d4a136de-438f-416b-aa39-a4a58e8c7b1c"/>
  </ds:schemaRefs>
</ds:datastoreItem>
</file>

<file path=customXml/itemProps3.xml><?xml version="1.0" encoding="utf-8"?>
<ds:datastoreItem xmlns:ds="http://schemas.openxmlformats.org/officeDocument/2006/customXml" ds:itemID="{E3367A9A-83F7-4B80-8617-347538A7EDE8}">
  <ds:schemaRefs>
    <ds:schemaRef ds:uri="http://schemas.microsoft.com/sharepoint/v3/contenttype/forms"/>
  </ds:schemaRefs>
</ds:datastoreItem>
</file>

<file path=docMetadata/LabelInfo.xml><?xml version="1.0" encoding="utf-8"?>
<clbl:labelList xmlns:clbl="http://schemas.microsoft.com/office/2020/mipLabelMetadata">
  <clbl:label id="{b847c2f0-baef-4664-a416-a3edbe0281c7}" enabled="0" method="" siteId="{b847c2f0-baef-4664-a416-a3edbe0281c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vt:lpstr>
      <vt:lpstr>Sheet1</vt:lpstr>
      <vt:lpstr>Sheet2</vt:lpstr>
    </vt:vector>
  </TitlesOfParts>
  <Manager/>
  <Company>SORTA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AWilcoxson</dc:creator>
  <cp:keywords/>
  <dc:description/>
  <cp:lastModifiedBy>Mary Huller</cp:lastModifiedBy>
  <cp:revision/>
  <dcterms:created xsi:type="dcterms:W3CDTF">2011-05-18T15:52:27Z</dcterms:created>
  <dcterms:modified xsi:type="dcterms:W3CDTF">2026-06-17T20:05:42Z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ContentTypeId">
    <vt:lpwstr>0x01010076ACC5372AE95F4C9DFEA9B4B4589736</vt:lpwstr>
  </property>
  <property fmtid="{D5CDD505-2E9C-101B-9397-08002B2CF9AE}" pid="5" name="MediaServiceImageTags">
    <vt:lpwstr/>
  </property>
</Properties>
</file>